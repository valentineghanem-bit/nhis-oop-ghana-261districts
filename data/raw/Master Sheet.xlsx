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<sst xmlns="http://schemas.openxmlformats.org/spreadsheetml/2006/main" count="801" uniqueCount="298">
  <si>
    <t>Region</t>
  </si>
  <si>
    <t>Metropolitan, Municipal, and District Assemblies (MMDA's)</t>
  </si>
  <si>
    <t>Class</t>
  </si>
  <si>
    <t>Latitude</t>
  </si>
  <si>
    <t>Longitude</t>
  </si>
  <si>
    <t>Employed Population</t>
  </si>
  <si>
    <t>Unemployed Population</t>
  </si>
  <si>
    <t>Incidence of Poverty</t>
  </si>
  <si>
    <t>Intensity of Poverty</t>
  </si>
  <si>
    <t>Illiterate Population</t>
  </si>
  <si>
    <t>Uninsured Population</t>
  </si>
  <si>
    <t>Male Population 0-14</t>
  </si>
  <si>
    <t>Female Population 0-14</t>
  </si>
  <si>
    <t>Male Population 15-64</t>
  </si>
  <si>
    <t>Female Population 15-64</t>
  </si>
  <si>
    <t>Male Population 65+</t>
  </si>
  <si>
    <t>Female Population 65+</t>
  </si>
  <si>
    <t>Total Population</t>
  </si>
  <si>
    <t>Ahafo</t>
  </si>
  <si>
    <t>Asunafo North Municipal</t>
  </si>
  <si>
    <t>Municipal</t>
  </si>
  <si>
    <t>Asunafo South</t>
  </si>
  <si>
    <t>District</t>
  </si>
  <si>
    <t>Asutifi North</t>
  </si>
  <si>
    <t>Asutifi South</t>
  </si>
  <si>
    <t>Tano North Municipal</t>
  </si>
  <si>
    <t>Tano South Municipal</t>
  </si>
  <si>
    <t>Ashanti</t>
  </si>
  <si>
    <t>Adansi Asokwa</t>
  </si>
  <si>
    <t>Adansi North</t>
  </si>
  <si>
    <t>Adansi South</t>
  </si>
  <si>
    <t>Afigya Kwabre North</t>
  </si>
  <si>
    <t>Afigya Kwabre South</t>
  </si>
  <si>
    <t>Ahafo Ano North Municipal</t>
  </si>
  <si>
    <t>Ahafo Ano South East</t>
  </si>
  <si>
    <t>Ahafo Ano South West</t>
  </si>
  <si>
    <t>Akrofuom</t>
  </si>
  <si>
    <t>Amansie Central</t>
  </si>
  <si>
    <t>Amansie South</t>
  </si>
  <si>
    <t>Amansie West</t>
  </si>
  <si>
    <t>Asante Akim Central Municipal</t>
  </si>
  <si>
    <t>Asante Akim North Municipal</t>
  </si>
  <si>
    <t>Asante Akim South Municipal</t>
  </si>
  <si>
    <t>Asokore Mampong Municipal</t>
  </si>
  <si>
    <t>Asokwa Municipal</t>
  </si>
  <si>
    <t>Atwima Kwanwoma</t>
  </si>
  <si>
    <t>Atwima Mponua</t>
  </si>
  <si>
    <t>Atwima Nwabiagya North</t>
  </si>
  <si>
    <t>Atwima Nwabiagya South Municipal</t>
  </si>
  <si>
    <t>Bekwai Municipal</t>
  </si>
  <si>
    <t>Bosome Freho</t>
  </si>
  <si>
    <t>Bosomtwi</t>
  </si>
  <si>
    <t>Ejisu Municipal</t>
  </si>
  <si>
    <t>Ejura Sekyedumase Municipal</t>
  </si>
  <si>
    <t>Juaben Municipal</t>
  </si>
  <si>
    <t>Kumasi Metropolitan Area (KMA)-Bantama, Manhyia North, Manhyia South, Nhyiaeso, &amp; Subin</t>
  </si>
  <si>
    <t>Metropolitan</t>
  </si>
  <si>
    <t>Kwabre East</t>
  </si>
  <si>
    <t>Kwadaso Municipal</t>
  </si>
  <si>
    <t>Mampong Municipal</t>
  </si>
  <si>
    <t>Obuasi East</t>
  </si>
  <si>
    <t>Obuasi Municipal</t>
  </si>
  <si>
    <t>Offinso Municipal</t>
  </si>
  <si>
    <t>Offinso North</t>
  </si>
  <si>
    <t>Oforikrom Municipal</t>
  </si>
  <si>
    <t>Old Tafo Municipal</t>
  </si>
  <si>
    <t>Sekyere Afram Plains</t>
  </si>
  <si>
    <t>Sekyere Central</t>
  </si>
  <si>
    <t>Sekyere East</t>
  </si>
  <si>
    <t>Sekyere Kumawu</t>
  </si>
  <si>
    <t>Sekyere South</t>
  </si>
  <si>
    <t>Suame Municipal</t>
  </si>
  <si>
    <t>Bono</t>
  </si>
  <si>
    <t>Banda</t>
  </si>
  <si>
    <t>Berekum East Municipal</t>
  </si>
  <si>
    <t>Berekum West</t>
  </si>
  <si>
    <t>Dormaa Central Municipal</t>
  </si>
  <si>
    <t>Dormaa East</t>
  </si>
  <si>
    <t>Dormaa West</t>
  </si>
  <si>
    <t>Jaman North</t>
  </si>
  <si>
    <t>Jaman South</t>
  </si>
  <si>
    <t>Sunyani Municipal</t>
  </si>
  <si>
    <t>Sunyani West Municipal</t>
  </si>
  <si>
    <t>Tain</t>
  </si>
  <si>
    <t>Wenchi Municipal</t>
  </si>
  <si>
    <t>Bono East</t>
  </si>
  <si>
    <t>Atebubu Amantin Municipal</t>
  </si>
  <si>
    <t>Kintampo North Municipal</t>
  </si>
  <si>
    <t>Kintampo South</t>
  </si>
  <si>
    <t>Nkoranza North</t>
  </si>
  <si>
    <t>Nkoranza South Municipal</t>
  </si>
  <si>
    <t>Pru East</t>
  </si>
  <si>
    <t>Pru West</t>
  </si>
  <si>
    <t>Sene East</t>
  </si>
  <si>
    <t>Sene West</t>
  </si>
  <si>
    <t>Techiman Municipal</t>
  </si>
  <si>
    <t>Techiman North</t>
  </si>
  <si>
    <t>Central</t>
  </si>
  <si>
    <t>Abura Asebu Kwamankese</t>
  </si>
  <si>
    <t>Agona East</t>
  </si>
  <si>
    <t>Agona West Municipal</t>
  </si>
  <si>
    <t>Ajumako Enyan Essiam</t>
  </si>
  <si>
    <t>Asikuma Odoben Brakwa</t>
  </si>
  <si>
    <t>Assin Central Municipal</t>
  </si>
  <si>
    <t>Assin North</t>
  </si>
  <si>
    <t>Assin South</t>
  </si>
  <si>
    <t>Awutu Senya West</t>
  </si>
  <si>
    <t>Awutu Senya East Municipal</t>
  </si>
  <si>
    <t>Cape Cape Metropolitan Area (CCMA)-Cape Coast South &amp; Cape Coast North</t>
  </si>
  <si>
    <t>Effutu Municipal</t>
  </si>
  <si>
    <t>Ekumfi</t>
  </si>
  <si>
    <t>Gomoa Central</t>
  </si>
  <si>
    <t>Gomoa East</t>
  </si>
  <si>
    <t>Gomoa West</t>
  </si>
  <si>
    <t>Komenda Edina Eguafo Abirem Municipal</t>
  </si>
  <si>
    <t>Mfantsiman Municipal</t>
  </si>
  <si>
    <t>Twifo Ati Morkwa</t>
  </si>
  <si>
    <t>Twifo Heman Lower Denkyira</t>
  </si>
  <si>
    <t>Upper Denkyira East Municipal</t>
  </si>
  <si>
    <t>Upper Denkyira West</t>
  </si>
  <si>
    <t>Eastern</t>
  </si>
  <si>
    <t>Abuakwa North Municipal</t>
  </si>
  <si>
    <t>Abuakwa South Municipal</t>
  </si>
  <si>
    <t>Achiase</t>
  </si>
  <si>
    <t>Akwapim North Municipal</t>
  </si>
  <si>
    <t>Akwapim South Municipal</t>
  </si>
  <si>
    <t>Akyemansa</t>
  </si>
  <si>
    <t>Asene Manso Akroso</t>
  </si>
  <si>
    <t>Asuogyaman</t>
  </si>
  <si>
    <t>Atiwa East</t>
  </si>
  <si>
    <t>Atiwa West</t>
  </si>
  <si>
    <t>Ayensuano</t>
  </si>
  <si>
    <t>Birim Central Municipal</t>
  </si>
  <si>
    <t>Birim North</t>
  </si>
  <si>
    <t>Birim South</t>
  </si>
  <si>
    <t>Denkyembuor</t>
  </si>
  <si>
    <t>Fanteakwa North</t>
  </si>
  <si>
    <t>Fanteakwa South</t>
  </si>
  <si>
    <t>Kwaebibirem Municipal</t>
  </si>
  <si>
    <t>Kwahu Afram Plains North</t>
  </si>
  <si>
    <t>Kwahu Afram Plains South</t>
  </si>
  <si>
    <t>Kwahu East</t>
  </si>
  <si>
    <t>Kwahu South Municipal</t>
  </si>
  <si>
    <t>Kwahu West Municipal</t>
  </si>
  <si>
    <t>Lower Manya Krobo Municipal</t>
  </si>
  <si>
    <t>New Juaben North Municipal</t>
  </si>
  <si>
    <t>New Juaben South Municipal</t>
  </si>
  <si>
    <t>Nsawam Adoagyiri Municipal</t>
  </si>
  <si>
    <t>Okere</t>
  </si>
  <si>
    <t>Suhum Municipal</t>
  </si>
  <si>
    <t>Upper Manya Krobo</t>
  </si>
  <si>
    <t>Upper West Akim</t>
  </si>
  <si>
    <t>West Akim Municipal</t>
  </si>
  <si>
    <t>Yilo Krobo Municipal</t>
  </si>
  <si>
    <t>Greater Accra</t>
  </si>
  <si>
    <t>Ablekuma Central Municipal</t>
  </si>
  <si>
    <t>Ablekuma North Municipal</t>
  </si>
  <si>
    <t>Ablekuma West Municipal</t>
  </si>
  <si>
    <t>Accra Metropolitan Area (AMA)-Ablekuma South, Ashiedu Keteke &amp; Okaikoi South</t>
  </si>
  <si>
    <t>Ada East</t>
  </si>
  <si>
    <t>Ada West</t>
  </si>
  <si>
    <t>Adentan Municipal</t>
  </si>
  <si>
    <t>Ashaiman Municipal</t>
  </si>
  <si>
    <t>Ayawaso Central Municipal</t>
  </si>
  <si>
    <t>Ayawaso East Municipal</t>
  </si>
  <si>
    <t>Ayawaso North Municipal</t>
  </si>
  <si>
    <t>Ayawaso West Municipal</t>
  </si>
  <si>
    <t>Ga Central Municipal</t>
  </si>
  <si>
    <t>Ga East Municipal</t>
  </si>
  <si>
    <t>Ga North Municipal</t>
  </si>
  <si>
    <t>Ga South Municipal</t>
  </si>
  <si>
    <t>Ga West Municipal</t>
  </si>
  <si>
    <t>Korle Klottey Municipal</t>
  </si>
  <si>
    <t>Kpone Katamanso Municipal</t>
  </si>
  <si>
    <t>Krowor Municipal</t>
  </si>
  <si>
    <t>La Dade-Kotopon Municipal</t>
  </si>
  <si>
    <t>La Nkwantanang Madina Municipal</t>
  </si>
  <si>
    <t>Ledzokuku Municipal</t>
  </si>
  <si>
    <t>Ningo-Prampram</t>
  </si>
  <si>
    <t>Okaikoi North Municipal</t>
  </si>
  <si>
    <t>Shai-Osudoku</t>
  </si>
  <si>
    <t>Tema Metropolitan Area (TMA)-Tema Central &amp; Tema East</t>
  </si>
  <si>
    <t>Tema West Municipal</t>
  </si>
  <si>
    <t>Weija Gbawe Municipal</t>
  </si>
  <si>
    <t>North East</t>
  </si>
  <si>
    <t>Bunkpurugu Nakpanduri</t>
  </si>
  <si>
    <t>Chereponi</t>
  </si>
  <si>
    <t>East Mamprusi Municipal</t>
  </si>
  <si>
    <t>Mamprugu Moagduri</t>
  </si>
  <si>
    <t>West Mamprusi Municipal</t>
  </si>
  <si>
    <t>Yunyoo Nasuan</t>
  </si>
  <si>
    <t>Northern</t>
  </si>
  <si>
    <t>Gushegu Municipal</t>
  </si>
  <si>
    <t>Karaga</t>
  </si>
  <si>
    <t>Kpandai</t>
  </si>
  <si>
    <t>Kumbungu</t>
  </si>
  <si>
    <t>Mion</t>
  </si>
  <si>
    <t>Nanton</t>
  </si>
  <si>
    <t>Nanumba North Municipal</t>
  </si>
  <si>
    <t>Nanumba South</t>
  </si>
  <si>
    <t>Saboba</t>
  </si>
  <si>
    <t>Sagnarigu Municipal</t>
  </si>
  <si>
    <t>Savelugu Municipal</t>
  </si>
  <si>
    <t>Tamale Metropolitan Area (TMA)-Tamale Central &amp; Tamale South</t>
  </si>
  <si>
    <t>Tatale Sanguli</t>
  </si>
  <si>
    <t>Tolon</t>
  </si>
  <si>
    <t>Yendi Municipal</t>
  </si>
  <si>
    <t>Zabzugu</t>
  </si>
  <si>
    <t>Oti</t>
  </si>
  <si>
    <t>Biakoye</t>
  </si>
  <si>
    <t>Guan</t>
  </si>
  <si>
    <t>Jasikan Municipal</t>
  </si>
  <si>
    <t>Kadjebi</t>
  </si>
  <si>
    <t>Krachi East Municipal</t>
  </si>
  <si>
    <t>Krachi Nchumuru</t>
  </si>
  <si>
    <t>Krachi West Municipal</t>
  </si>
  <si>
    <t>Nkwanta North (Kpassa)</t>
  </si>
  <si>
    <t>Nkwanta South Municipal</t>
  </si>
  <si>
    <t>Savannah</t>
  </si>
  <si>
    <t>Bole</t>
  </si>
  <si>
    <t>Central Gonja</t>
  </si>
  <si>
    <t>East Gonja Municipal</t>
  </si>
  <si>
    <t>North East Gonja</t>
  </si>
  <si>
    <t>North Gonja</t>
  </si>
  <si>
    <t>Sawla Tuna Kalba</t>
  </si>
  <si>
    <t>West Gonja</t>
  </si>
  <si>
    <t>Upper East</t>
  </si>
  <si>
    <t>Bawku Municipal</t>
  </si>
  <si>
    <t>Bawku West</t>
  </si>
  <si>
    <t>Binduri</t>
  </si>
  <si>
    <t>Bolgatanga East</t>
  </si>
  <si>
    <t>Bolgatanga Municipal</t>
  </si>
  <si>
    <t>Bongo</t>
  </si>
  <si>
    <t>Builsa North Municipal</t>
  </si>
  <si>
    <t>Builsa South</t>
  </si>
  <si>
    <t>Garu</t>
  </si>
  <si>
    <t>Kasena Nankana Municipal</t>
  </si>
  <si>
    <t>Kasena Nankana West</t>
  </si>
  <si>
    <t>Nabdam</t>
  </si>
  <si>
    <t>Pusiga</t>
  </si>
  <si>
    <t>Talensi</t>
  </si>
  <si>
    <t>Tempane</t>
  </si>
  <si>
    <t>Upper West</t>
  </si>
  <si>
    <t>Daffiama Bussie Issa</t>
  </si>
  <si>
    <t>Jirapa Municipal</t>
  </si>
  <si>
    <t>Lambussie Karni</t>
  </si>
  <si>
    <t>Lawra Municipal</t>
  </si>
  <si>
    <t>Nadowli Kaleo</t>
  </si>
  <si>
    <t>Nandom</t>
  </si>
  <si>
    <t>Sissala East Municipal</t>
  </si>
  <si>
    <t>Sissala West</t>
  </si>
  <si>
    <t>Wa East</t>
  </si>
  <si>
    <t>Wa Municipal</t>
  </si>
  <si>
    <t>Wa West</t>
  </si>
  <si>
    <t>Volta</t>
  </si>
  <si>
    <t>Adaklu</t>
  </si>
  <si>
    <t>Afadzato South</t>
  </si>
  <si>
    <t>Agortime-Ziope</t>
  </si>
  <si>
    <t>Akatsi North</t>
  </si>
  <si>
    <t>Akatsi South Municipal</t>
  </si>
  <si>
    <t>Anloga</t>
  </si>
  <si>
    <t>Central Tongu</t>
  </si>
  <si>
    <t>Ho Municipal</t>
  </si>
  <si>
    <t>Ho West</t>
  </si>
  <si>
    <t>Hohoe Municipal</t>
  </si>
  <si>
    <t>Keta Municipal</t>
  </si>
  <si>
    <t>Ketu North Municipal</t>
  </si>
  <si>
    <t>Ketu South Municipal</t>
  </si>
  <si>
    <t>Kpando Municipal</t>
  </si>
  <si>
    <t>North Dayi</t>
  </si>
  <si>
    <t>North Tongu</t>
  </si>
  <si>
    <t>South Dayi</t>
  </si>
  <si>
    <t>South Tongu</t>
  </si>
  <si>
    <t>Western</t>
  </si>
  <si>
    <t>Ahanta West Municipal</t>
  </si>
  <si>
    <t>Effia Kwesimintsim Municipal</t>
  </si>
  <si>
    <t>Ellembelle</t>
  </si>
  <si>
    <t>Jomoro Municipal</t>
  </si>
  <si>
    <t>Mpohor</t>
  </si>
  <si>
    <t>Nzema East Municipal</t>
  </si>
  <si>
    <t>Prestea/Huni Valley Municipal</t>
  </si>
  <si>
    <t>Sekondi Takoradi Metropolitan Area (STMA)- Takoradi, Sekondi &amp; Essikado-Ketan</t>
  </si>
  <si>
    <t>Shama</t>
  </si>
  <si>
    <t>Tarkwa-Nsuaem Municipal</t>
  </si>
  <si>
    <t>Wassa Amenfi Central</t>
  </si>
  <si>
    <t>Wassa Amenfi East Municipal</t>
  </si>
  <si>
    <t>Wassa Amenfi West Municipal</t>
  </si>
  <si>
    <t>Wassa East</t>
  </si>
  <si>
    <t>Western North</t>
  </si>
  <si>
    <t>Aowin Municipal</t>
  </si>
  <si>
    <t>Bia East</t>
  </si>
  <si>
    <t>Bia West</t>
  </si>
  <si>
    <t>Bibiani Anhwiaso Bekwai Municipal</t>
  </si>
  <si>
    <t>Bodi</t>
  </si>
  <si>
    <t>Juaboso</t>
  </si>
  <si>
    <t>Sefwi Akontombra</t>
  </si>
  <si>
    <t>Sefwi Wiawso Municipal</t>
  </si>
  <si>
    <t>Suaman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</si>
</sst>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"/>
    <numFmt numFmtId="179" formatCode="0.00_);[Red]\(0.00\)"/>
    <numFmt numFmtId="180" formatCode="0_);[Red]\(0\)"/>
    <numFmt numFmtId="181" formatCode="0.0"/>
  </numFmts>
  <fonts count="31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0"/>
      <color rgb="FF000000"/>
      <name val="Sans"/>
      <charset val="134"/>
    </font>
    <font>
      <sz val="11"/>
      <color rgb="FF000000"/>
      <name val="Calibri"/>
      <charset val="134"/>
    </font>
    <font>
      <b/>
      <sz val="11"/>
      <color rgb="FFC00000"/>
      <name val="Calibri"/>
      <charset val="134"/>
    </font>
    <font>
      <b/>
      <sz val="10"/>
      <color rgb="FFC00000"/>
      <name val="Sans"/>
      <charset val="134"/>
    </font>
    <font>
      <b/>
      <sz val="11"/>
      <color rgb="FFFF0000"/>
      <name val="Calibri"/>
      <charset val="134"/>
    </font>
    <font>
      <b/>
      <sz val="10"/>
      <color rgb="FFFF0000"/>
      <name val="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178" fontId="0" fillId="0" borderId="0" xfId="0" applyNumberFormat="1" applyFill="1" applyAlignmen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6" fillId="0" borderId="0" xfId="0" applyFont="1">
      <alignment vertical="center"/>
    </xf>
    <xf numFmtId="1" fontId="7" fillId="0" borderId="0" xfId="0" applyNumberFormat="1" applyFont="1" applyFill="1" applyAlignment="1" applyProtection="1"/>
    <xf numFmtId="181" fontId="7" fillId="0" borderId="0" xfId="0" applyNumberFormat="1" applyFont="1" applyFill="1" applyAlignment="1" applyProtection="1"/>
    <xf numFmtId="49" fontId="7" fillId="0" borderId="0" xfId="0" applyNumberFormat="1" applyFont="1" applyFill="1" applyAlignment="1" applyProtection="1"/>
    <xf numFmtId="49" fontId="2" fillId="0" borderId="0" xfId="0" applyNumberFormat="1" applyFont="1">
      <alignment vertical="center"/>
    </xf>
    <xf numFmtId="49" fontId="8" fillId="0" borderId="0" xfId="0" applyNumberFormat="1" applyFont="1" applyFill="1" applyAlignment="1" applyProtection="1"/>
    <xf numFmtId="178" fontId="2" fillId="0" borderId="0" xfId="0" applyNumberFormat="1" applyFont="1">
      <alignment vertical="center"/>
    </xf>
    <xf numFmtId="1" fontId="8" fillId="0" borderId="0" xfId="0" applyNumberFormat="1" applyFont="1" applyFill="1" applyAlignment="1" applyProtection="1"/>
    <xf numFmtId="179" fontId="2" fillId="0" borderId="0" xfId="0" applyNumberFormat="1" applyFont="1">
      <alignment vertical="center"/>
    </xf>
    <xf numFmtId="181" fontId="8" fillId="0" borderId="0" xfId="0" applyNumberFormat="1" applyFont="1" applyFill="1" applyAlignment="1" applyProtection="1"/>
    <xf numFmtId="0" fontId="9" fillId="0" borderId="0" xfId="0" applyFont="1">
      <alignment vertical="center"/>
    </xf>
    <xf numFmtId="180" fontId="1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79" fontId="7" fillId="0" borderId="0" xfId="0" applyNumberFormat="1" applyFont="1" applyFill="1" applyAlignment="1" applyProtection="1"/>
    <xf numFmtId="49" fontId="4" fillId="0" borderId="0" xfId="0" applyNumberFormat="1" applyFont="1">
      <alignment vertical="center"/>
    </xf>
    <xf numFmtId="49" fontId="10" fillId="0" borderId="0" xfId="0" applyNumberFormat="1" applyFont="1" applyFill="1" applyAlignment="1" applyProtection="1"/>
    <xf numFmtId="178" fontId="4" fillId="0" borderId="0" xfId="0" applyNumberFormat="1" applyFont="1" applyFill="1" applyAlignment="1">
      <alignment vertical="center"/>
    </xf>
    <xf numFmtId="1" fontId="10" fillId="0" borderId="0" xfId="0" applyNumberFormat="1" applyFont="1" applyFill="1" applyAlignment="1" applyProtection="1"/>
    <xf numFmtId="179" fontId="4" fillId="0" borderId="0" xfId="0" applyNumberFormat="1" applyFont="1">
      <alignment vertical="center"/>
    </xf>
    <xf numFmtId="0" fontId="11" fillId="0" borderId="0" xfId="0" applyFont="1">
      <alignment vertical="center"/>
    </xf>
    <xf numFmtId="180" fontId="4" fillId="0" borderId="0" xfId="0" applyNumberFormat="1" applyFont="1">
      <alignment vertical="center"/>
    </xf>
    <xf numFmtId="181" fontId="10" fillId="0" borderId="0" xfId="0" applyNumberFormat="1" applyFont="1" applyFill="1" applyAlignment="1" applyProtection="1"/>
    <xf numFmtId="0" fontId="7" fillId="0" borderId="0" xfId="0" applyNumberFormat="1" applyFont="1" applyFill="1" applyAlignment="1" applyProtection="1"/>
    <xf numFmtId="0" fontId="10" fillId="0" borderId="0" xfId="0" applyNumberFormat="1" applyFont="1" applyFill="1" applyAlignment="1" applyProtection="1"/>
    <xf numFmtId="178" fontId="4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2"/>
  <sheetViews>
    <sheetView tabSelected="1" workbookViewId="0">
      <pane xSplit="2" topLeftCell="C1" activePane="topRight" state="frozen"/>
      <selection/>
      <selection pane="topRight" activeCell="G90" sqref="G90"/>
    </sheetView>
  </sheetViews>
  <sheetFormatPr defaultColWidth="17.1428571428571" defaultRowHeight="15"/>
  <cols>
    <col min="1" max="1" width="15.2857142857143" style="6" customWidth="1"/>
    <col min="2" max="2" width="94.7142857142857" style="6" customWidth="1"/>
    <col min="3" max="3" width="17.1428571428571" style="6" customWidth="1"/>
    <col min="4" max="4" width="20.2857142857143" style="7" customWidth="1"/>
    <col min="5" max="5" width="21.4285714285714" style="7" customWidth="1"/>
    <col min="6" max="6" width="23" style="8" customWidth="1"/>
    <col min="7" max="7" width="25.7142857142857" style="8" customWidth="1"/>
    <col min="8" max="8" width="20.8571428571429" style="8" customWidth="1"/>
    <col min="9" max="9" width="20.1428571428571" style="8" customWidth="1"/>
    <col min="10" max="10" width="20.5714285714286" style="8" customWidth="1"/>
    <col min="11" max="11" width="22.1428571428571" style="8" customWidth="1"/>
    <col min="12" max="12" width="22.4285714285714" style="8" customWidth="1"/>
    <col min="13" max="13" width="25.5714285714286" style="8" customWidth="1"/>
    <col min="14" max="14" width="24.7142857142857" style="8" customWidth="1"/>
    <col min="15" max="15" width="26.8571428571429" style="8" customWidth="1"/>
    <col min="16" max="16" width="22.8571428571429" style="8" customWidth="1"/>
    <col min="17" max="17" width="25" style="8" customWidth="1"/>
    <col min="18" max="18" width="17.1428571428571" style="9" customWidth="1"/>
    <col min="19" max="16384" width="17.1428571428571" customWidth="1"/>
  </cols>
  <sheetData>
    <row r="1" s="1" customFormat="1" ht="15.75" spans="1:18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24" t="s">
        <v>17</v>
      </c>
    </row>
    <row r="2" spans="1:18">
      <c r="A2" s="13" t="s">
        <v>18</v>
      </c>
      <c r="B2" s="13" t="s">
        <v>19</v>
      </c>
      <c r="C2" s="6" t="s">
        <v>20</v>
      </c>
      <c r="D2" s="7">
        <v>6.81509969999999</v>
      </c>
      <c r="E2" s="7">
        <v>-2.67736640122449</v>
      </c>
      <c r="F2" s="14">
        <v>51611</v>
      </c>
      <c r="G2" s="8">
        <f>SUM(N2:Q2)-SUM(F2)</f>
        <v>45446</v>
      </c>
      <c r="H2" s="15">
        <v>26.1</v>
      </c>
      <c r="I2" s="15">
        <v>42</v>
      </c>
      <c r="J2" s="14">
        <v>39814</v>
      </c>
      <c r="K2" s="14">
        <v>21534</v>
      </c>
      <c r="L2" s="13">
        <v>27637</v>
      </c>
      <c r="M2" s="13">
        <v>26564</v>
      </c>
      <c r="N2" s="13">
        <v>46535</v>
      </c>
      <c r="O2" s="13">
        <v>44897</v>
      </c>
      <c r="P2" s="13">
        <v>2715</v>
      </c>
      <c r="Q2" s="13">
        <v>2910</v>
      </c>
      <c r="R2" s="9">
        <f>SUM(L2:Q2)</f>
        <v>151258</v>
      </c>
    </row>
    <row r="3" spans="1:18">
      <c r="A3" s="13" t="s">
        <v>18</v>
      </c>
      <c r="B3" s="13" t="s">
        <v>21</v>
      </c>
      <c r="C3" s="6" t="s">
        <v>22</v>
      </c>
      <c r="D3" s="7">
        <v>6.56280465</v>
      </c>
      <c r="E3" s="7">
        <v>-2.53279356335542</v>
      </c>
      <c r="F3" s="14">
        <v>32671</v>
      </c>
      <c r="G3" s="8">
        <f t="shared" ref="G3:G66" si="0">SUM(N3:Q3)-SUM(F3)</f>
        <v>25169</v>
      </c>
      <c r="H3" s="15">
        <v>26.2</v>
      </c>
      <c r="I3" s="15">
        <v>42.7</v>
      </c>
      <c r="J3" s="14">
        <v>26493</v>
      </c>
      <c r="K3" s="14">
        <v>43550</v>
      </c>
      <c r="L3" s="13">
        <v>17439</v>
      </c>
      <c r="M3" s="13">
        <v>16414</v>
      </c>
      <c r="N3" s="13">
        <v>27748</v>
      </c>
      <c r="O3" s="13">
        <v>26493</v>
      </c>
      <c r="P3" s="13">
        <v>1769</v>
      </c>
      <c r="Q3" s="13">
        <v>1830</v>
      </c>
      <c r="R3" s="9">
        <f t="shared" ref="R3:R66" si="1">SUM(L3:Q3)</f>
        <v>91693</v>
      </c>
    </row>
    <row r="4" spans="1:18">
      <c r="A4" s="13" t="s">
        <v>18</v>
      </c>
      <c r="B4" s="13" t="s">
        <v>23</v>
      </c>
      <c r="C4" s="6" t="s">
        <v>22</v>
      </c>
      <c r="D4" s="7">
        <v>7.07651835</v>
      </c>
      <c r="E4" s="7">
        <v>-2.52531850396715</v>
      </c>
      <c r="F4" s="14">
        <v>24423</v>
      </c>
      <c r="G4" s="8">
        <f t="shared" si="0"/>
        <v>23087</v>
      </c>
      <c r="H4" s="15">
        <v>26.6</v>
      </c>
      <c r="I4" s="15">
        <v>43.1</v>
      </c>
      <c r="J4" s="14">
        <v>18794</v>
      </c>
      <c r="K4" s="14">
        <v>12723</v>
      </c>
      <c r="L4" s="13">
        <v>13205</v>
      </c>
      <c r="M4" s="13">
        <v>12841</v>
      </c>
      <c r="N4" s="13">
        <v>23097</v>
      </c>
      <c r="O4" s="13">
        <v>21584</v>
      </c>
      <c r="P4" s="13">
        <v>1361</v>
      </c>
      <c r="Q4" s="13">
        <v>1468</v>
      </c>
      <c r="R4" s="9">
        <f t="shared" si="1"/>
        <v>73556</v>
      </c>
    </row>
    <row r="5" spans="1:18">
      <c r="A5" s="13" t="s">
        <v>18</v>
      </c>
      <c r="B5" s="13" t="s">
        <v>24</v>
      </c>
      <c r="C5" s="6" t="s">
        <v>22</v>
      </c>
      <c r="D5" s="7">
        <v>6.84924284999999</v>
      </c>
      <c r="E5" s="7">
        <v>-2.46125343688365</v>
      </c>
      <c r="F5" s="14">
        <v>21582</v>
      </c>
      <c r="G5" s="8">
        <f t="shared" si="0"/>
        <v>20836</v>
      </c>
      <c r="H5" s="15">
        <v>23.2</v>
      </c>
      <c r="I5" s="15">
        <v>42.4</v>
      </c>
      <c r="J5" s="14">
        <v>19701</v>
      </c>
      <c r="K5" s="14">
        <v>14593</v>
      </c>
      <c r="L5" s="13">
        <v>12878</v>
      </c>
      <c r="M5" s="13">
        <v>12038</v>
      </c>
      <c r="N5" s="13">
        <v>20319</v>
      </c>
      <c r="O5" s="13">
        <v>19574</v>
      </c>
      <c r="P5" s="13">
        <v>1194</v>
      </c>
      <c r="Q5" s="13">
        <v>1331</v>
      </c>
      <c r="R5" s="9">
        <f t="shared" si="1"/>
        <v>67334</v>
      </c>
    </row>
    <row r="6" spans="1:18">
      <c r="A6" s="13" t="s">
        <v>18</v>
      </c>
      <c r="B6" s="13" t="s">
        <v>25</v>
      </c>
      <c r="C6" s="6" t="s">
        <v>20</v>
      </c>
      <c r="D6" s="7">
        <v>7.19329065</v>
      </c>
      <c r="E6" s="7">
        <v>-2.2080833699397</v>
      </c>
      <c r="F6" s="14">
        <v>31439</v>
      </c>
      <c r="G6" s="8">
        <f t="shared" si="0"/>
        <v>29602</v>
      </c>
      <c r="H6" s="15">
        <v>21.6</v>
      </c>
      <c r="I6" s="15">
        <v>42.3</v>
      </c>
      <c r="J6" s="14">
        <v>22005</v>
      </c>
      <c r="K6" s="14">
        <v>13235</v>
      </c>
      <c r="L6" s="13">
        <v>16935</v>
      </c>
      <c r="M6" s="13">
        <v>15862</v>
      </c>
      <c r="N6" s="13">
        <v>27631</v>
      </c>
      <c r="O6" s="13">
        <v>28903</v>
      </c>
      <c r="P6" s="13">
        <v>1968</v>
      </c>
      <c r="Q6" s="13">
        <v>2539</v>
      </c>
      <c r="R6" s="9">
        <f t="shared" si="1"/>
        <v>93838</v>
      </c>
    </row>
    <row r="7" spans="1:18">
      <c r="A7" s="13" t="s">
        <v>18</v>
      </c>
      <c r="B7" s="13" t="s">
        <v>26</v>
      </c>
      <c r="C7" s="6" t="s">
        <v>20</v>
      </c>
      <c r="D7" s="7">
        <v>7.16093674999999</v>
      </c>
      <c r="E7" s="7">
        <v>-1.99681708617696</v>
      </c>
      <c r="F7" s="14">
        <v>28999</v>
      </c>
      <c r="G7" s="8">
        <f t="shared" si="0"/>
        <v>26149</v>
      </c>
      <c r="H7" s="15">
        <v>23.7</v>
      </c>
      <c r="I7" s="15">
        <v>42.6</v>
      </c>
      <c r="J7" s="14">
        <v>24275</v>
      </c>
      <c r="K7" s="14">
        <v>17791</v>
      </c>
      <c r="L7" s="13">
        <v>16367</v>
      </c>
      <c r="M7" s="13">
        <v>15474</v>
      </c>
      <c r="N7" s="13">
        <v>24906</v>
      </c>
      <c r="O7" s="13">
        <v>26294</v>
      </c>
      <c r="P7" s="13">
        <v>1636</v>
      </c>
      <c r="Q7" s="13">
        <v>2312</v>
      </c>
      <c r="R7" s="9">
        <f t="shared" si="1"/>
        <v>86989</v>
      </c>
    </row>
    <row r="8" spans="1:18">
      <c r="A8" s="6" t="s">
        <v>27</v>
      </c>
      <c r="B8" s="16" t="s">
        <v>28</v>
      </c>
      <c r="C8" s="6" t="s">
        <v>22</v>
      </c>
      <c r="D8" s="7">
        <v>6.2467263</v>
      </c>
      <c r="E8" s="7">
        <v>-1.50841</v>
      </c>
      <c r="F8" s="14">
        <v>23550</v>
      </c>
      <c r="G8" s="8">
        <f t="shared" si="0"/>
        <v>21838</v>
      </c>
      <c r="H8" s="15">
        <v>32.4</v>
      </c>
      <c r="I8" s="15">
        <v>43.3</v>
      </c>
      <c r="J8" s="14">
        <v>20304</v>
      </c>
      <c r="K8" s="14">
        <v>36029</v>
      </c>
      <c r="L8" s="13">
        <v>13691</v>
      </c>
      <c r="M8" s="13">
        <v>12765</v>
      </c>
      <c r="N8" s="13">
        <v>20664</v>
      </c>
      <c r="O8" s="13">
        <v>21335</v>
      </c>
      <c r="P8" s="13">
        <v>1589</v>
      </c>
      <c r="Q8" s="13">
        <v>1800</v>
      </c>
      <c r="R8" s="9">
        <f t="shared" si="1"/>
        <v>71844</v>
      </c>
    </row>
    <row r="9" spans="1:18">
      <c r="A9" s="6" t="s">
        <v>27</v>
      </c>
      <c r="B9" s="16" t="s">
        <v>29</v>
      </c>
      <c r="C9" s="6" t="s">
        <v>22</v>
      </c>
      <c r="D9" s="7">
        <v>6.3006124</v>
      </c>
      <c r="E9" s="7">
        <v>-1.5897139446089</v>
      </c>
      <c r="F9" s="14">
        <v>17411</v>
      </c>
      <c r="G9" s="8">
        <f t="shared" si="0"/>
        <v>18501</v>
      </c>
      <c r="H9" s="15">
        <v>19.7</v>
      </c>
      <c r="I9" s="15">
        <v>42.8</v>
      </c>
      <c r="J9" s="14">
        <v>9833</v>
      </c>
      <c r="K9" s="14">
        <v>14965</v>
      </c>
      <c r="L9" s="13">
        <v>9247</v>
      </c>
      <c r="M9" s="13">
        <v>8996</v>
      </c>
      <c r="N9" s="13">
        <v>16537</v>
      </c>
      <c r="O9" s="13">
        <v>16948</v>
      </c>
      <c r="P9" s="13">
        <v>998</v>
      </c>
      <c r="Q9" s="13">
        <v>1429</v>
      </c>
      <c r="R9" s="9">
        <f t="shared" si="1"/>
        <v>54155</v>
      </c>
    </row>
    <row r="10" spans="1:18">
      <c r="A10" s="6" t="s">
        <v>27</v>
      </c>
      <c r="B10" s="16" t="s">
        <v>30</v>
      </c>
      <c r="C10" s="6" t="s">
        <v>22</v>
      </c>
      <c r="D10" s="7">
        <v>6.00427495</v>
      </c>
      <c r="E10" s="7">
        <v>-1.39314032189093</v>
      </c>
      <c r="F10" s="14">
        <v>29633</v>
      </c>
      <c r="G10" s="8">
        <f t="shared" si="0"/>
        <v>24270</v>
      </c>
      <c r="H10" s="15">
        <v>35</v>
      </c>
      <c r="I10" s="15">
        <v>43.2</v>
      </c>
      <c r="J10" s="14">
        <v>23064</v>
      </c>
      <c r="K10" s="14">
        <v>39272</v>
      </c>
      <c r="L10" s="13">
        <v>16212</v>
      </c>
      <c r="M10" s="13">
        <v>15085</v>
      </c>
      <c r="N10" s="13">
        <v>24648</v>
      </c>
      <c r="O10" s="13">
        <v>25348</v>
      </c>
      <c r="P10" s="13">
        <v>1692</v>
      </c>
      <c r="Q10" s="13">
        <v>2215</v>
      </c>
      <c r="R10" s="9">
        <f t="shared" si="1"/>
        <v>85200</v>
      </c>
    </row>
    <row r="11" spans="1:18">
      <c r="A11" s="6" t="s">
        <v>27</v>
      </c>
      <c r="B11" s="16" t="s">
        <v>31</v>
      </c>
      <c r="C11" s="6" t="s">
        <v>22</v>
      </c>
      <c r="D11" s="7">
        <v>7.03891495</v>
      </c>
      <c r="E11" s="7">
        <v>-1.62667127242319</v>
      </c>
      <c r="F11" s="14">
        <v>21350</v>
      </c>
      <c r="G11" s="8">
        <f t="shared" si="0"/>
        <v>22931</v>
      </c>
      <c r="H11" s="15">
        <v>25.2</v>
      </c>
      <c r="I11" s="15">
        <v>43.7</v>
      </c>
      <c r="J11" s="14">
        <v>17584</v>
      </c>
      <c r="K11" s="14">
        <v>22087</v>
      </c>
      <c r="L11" s="13">
        <v>15067</v>
      </c>
      <c r="M11" s="13">
        <v>13982</v>
      </c>
      <c r="N11" s="13">
        <v>20273</v>
      </c>
      <c r="O11" s="13">
        <v>21082</v>
      </c>
      <c r="P11" s="13">
        <v>1268</v>
      </c>
      <c r="Q11" s="13">
        <v>1658</v>
      </c>
      <c r="R11" s="9">
        <f t="shared" si="1"/>
        <v>73330</v>
      </c>
    </row>
    <row r="12" spans="1:18">
      <c r="A12" s="6" t="s">
        <v>27</v>
      </c>
      <c r="B12" s="16" t="s">
        <v>32</v>
      </c>
      <c r="C12" s="6" t="s">
        <v>22</v>
      </c>
      <c r="D12" s="7">
        <v>6.83998064999999</v>
      </c>
      <c r="E12" s="7">
        <v>-1.60957900170106</v>
      </c>
      <c r="F12" s="14">
        <v>75019</v>
      </c>
      <c r="G12" s="8">
        <f t="shared" si="0"/>
        <v>72938</v>
      </c>
      <c r="H12" s="15">
        <v>13</v>
      </c>
      <c r="I12" s="15">
        <v>43.3</v>
      </c>
      <c r="J12" s="14">
        <v>31504</v>
      </c>
      <c r="K12" s="14">
        <v>58599</v>
      </c>
      <c r="L12" s="13">
        <v>43742</v>
      </c>
      <c r="M12" s="13">
        <v>42968</v>
      </c>
      <c r="N12" s="13">
        <v>68528</v>
      </c>
      <c r="O12" s="13">
        <v>72634</v>
      </c>
      <c r="P12" s="13">
        <v>2797</v>
      </c>
      <c r="Q12" s="13">
        <v>3998</v>
      </c>
      <c r="R12" s="9">
        <f t="shared" si="1"/>
        <v>234667</v>
      </c>
    </row>
    <row r="13" s="2" customFormat="1" spans="1:18">
      <c r="A13" s="6" t="s">
        <v>27</v>
      </c>
      <c r="B13" s="16" t="s">
        <v>33</v>
      </c>
      <c r="C13" s="6" t="s">
        <v>20</v>
      </c>
      <c r="D13" s="7">
        <v>6.90966445</v>
      </c>
      <c r="E13" s="7">
        <v>-2.23301229669742</v>
      </c>
      <c r="F13" s="14">
        <v>33407</v>
      </c>
      <c r="G13" s="8">
        <f t="shared" si="0"/>
        <v>25324</v>
      </c>
      <c r="H13" s="15">
        <v>26.5</v>
      </c>
      <c r="I13" s="15">
        <v>41.2</v>
      </c>
      <c r="J13" s="14">
        <v>23108</v>
      </c>
      <c r="K13" s="14">
        <v>28414</v>
      </c>
      <c r="L13" s="13">
        <v>17581</v>
      </c>
      <c r="M13" s="13">
        <v>16430</v>
      </c>
      <c r="N13" s="13">
        <v>27329</v>
      </c>
      <c r="O13" s="13">
        <v>27509</v>
      </c>
      <c r="P13" s="13">
        <v>1843</v>
      </c>
      <c r="Q13" s="13">
        <v>2050</v>
      </c>
      <c r="R13" s="9">
        <f t="shared" si="1"/>
        <v>92742</v>
      </c>
    </row>
    <row r="14" s="2" customFormat="1" spans="1:18">
      <c r="A14" s="6" t="s">
        <v>27</v>
      </c>
      <c r="B14" s="16" t="s">
        <v>34</v>
      </c>
      <c r="C14" s="6" t="s">
        <v>22</v>
      </c>
      <c r="D14" s="7">
        <v>6.94633355</v>
      </c>
      <c r="E14" s="7">
        <v>-1.90095355028736</v>
      </c>
      <c r="F14" s="14">
        <v>20560</v>
      </c>
      <c r="G14" s="8">
        <f t="shared" si="0"/>
        <v>17723</v>
      </c>
      <c r="H14" s="15">
        <v>31.8</v>
      </c>
      <c r="I14" s="15">
        <v>42.5</v>
      </c>
      <c r="J14" s="14">
        <v>20459</v>
      </c>
      <c r="K14" s="14">
        <v>20524</v>
      </c>
      <c r="L14" s="13">
        <v>12966</v>
      </c>
      <c r="M14" s="13">
        <v>12219</v>
      </c>
      <c r="N14" s="13">
        <v>17786</v>
      </c>
      <c r="O14" s="13">
        <v>17591</v>
      </c>
      <c r="P14" s="13">
        <v>1319</v>
      </c>
      <c r="Q14" s="13">
        <v>1587</v>
      </c>
      <c r="R14" s="9">
        <f t="shared" si="1"/>
        <v>63468</v>
      </c>
    </row>
    <row r="15" s="2" customFormat="1" spans="1:18">
      <c r="A15" s="6" t="s">
        <v>27</v>
      </c>
      <c r="B15" s="16" t="s">
        <v>35</v>
      </c>
      <c r="C15" s="6" t="s">
        <v>22</v>
      </c>
      <c r="D15" s="7">
        <v>6.8289788</v>
      </c>
      <c r="E15" s="7">
        <v>-2.00038660056909</v>
      </c>
      <c r="F15" s="14">
        <v>22860</v>
      </c>
      <c r="G15" s="8">
        <f t="shared" si="0"/>
        <v>18251</v>
      </c>
      <c r="H15" s="15">
        <v>31.9</v>
      </c>
      <c r="I15" s="15">
        <v>41.8</v>
      </c>
      <c r="J15" s="14">
        <v>20670</v>
      </c>
      <c r="K15" s="14">
        <v>24676</v>
      </c>
      <c r="L15" s="13">
        <v>12766</v>
      </c>
      <c r="M15" s="13">
        <v>11893</v>
      </c>
      <c r="N15" s="13">
        <v>19422</v>
      </c>
      <c r="O15" s="13">
        <v>18720</v>
      </c>
      <c r="P15" s="13">
        <v>1453</v>
      </c>
      <c r="Q15" s="13">
        <v>1516</v>
      </c>
      <c r="R15" s="9">
        <f t="shared" si="1"/>
        <v>65770</v>
      </c>
    </row>
    <row r="16" spans="1:18">
      <c r="A16" s="6" t="s">
        <v>27</v>
      </c>
      <c r="B16" s="16" t="s">
        <v>36</v>
      </c>
      <c r="C16" s="6" t="s">
        <v>22</v>
      </c>
      <c r="D16" s="7">
        <v>6.03262245</v>
      </c>
      <c r="E16" s="7">
        <v>-1.67136425707588</v>
      </c>
      <c r="F16" s="14">
        <v>16119</v>
      </c>
      <c r="G16" s="8">
        <f t="shared" si="0"/>
        <v>15681</v>
      </c>
      <c r="H16" s="15">
        <v>37</v>
      </c>
      <c r="I16" s="15">
        <v>44.2</v>
      </c>
      <c r="J16" s="14">
        <v>14804</v>
      </c>
      <c r="K16" s="14">
        <v>21116</v>
      </c>
      <c r="L16" s="13">
        <v>9048</v>
      </c>
      <c r="M16" s="13">
        <v>8443</v>
      </c>
      <c r="N16" s="13">
        <v>16194</v>
      </c>
      <c r="O16" s="13">
        <v>13524</v>
      </c>
      <c r="P16" s="13">
        <v>1073</v>
      </c>
      <c r="Q16" s="13">
        <v>1009</v>
      </c>
      <c r="R16" s="9">
        <f t="shared" si="1"/>
        <v>49291</v>
      </c>
    </row>
    <row r="17" spans="1:18">
      <c r="A17" s="6" t="s">
        <v>27</v>
      </c>
      <c r="B17" s="16" t="s">
        <v>37</v>
      </c>
      <c r="C17" s="6" t="s">
        <v>22</v>
      </c>
      <c r="D17" s="7">
        <v>6.20744165</v>
      </c>
      <c r="E17" s="7">
        <v>-1.82814118592735</v>
      </c>
      <c r="F17" s="14">
        <v>33580</v>
      </c>
      <c r="G17" s="8">
        <f t="shared" si="0"/>
        <v>27066</v>
      </c>
      <c r="H17" s="15">
        <v>28.6</v>
      </c>
      <c r="I17" s="15">
        <v>43.3</v>
      </c>
      <c r="J17" s="14">
        <v>27396</v>
      </c>
      <c r="K17" s="14">
        <v>31633</v>
      </c>
      <c r="L17" s="13">
        <v>16778</v>
      </c>
      <c r="M17" s="13">
        <v>15628</v>
      </c>
      <c r="N17" s="13">
        <v>29576</v>
      </c>
      <c r="O17" s="13">
        <v>26490</v>
      </c>
      <c r="P17" s="13">
        <v>2039</v>
      </c>
      <c r="Q17" s="13">
        <v>2541</v>
      </c>
      <c r="R17" s="9">
        <f t="shared" si="1"/>
        <v>93052</v>
      </c>
    </row>
    <row r="18" spans="1:18">
      <c r="A18" s="6" t="s">
        <v>27</v>
      </c>
      <c r="B18" s="16" t="s">
        <v>38</v>
      </c>
      <c r="C18" s="6" t="s">
        <v>22</v>
      </c>
      <c r="D18" s="7">
        <v>6.30802585</v>
      </c>
      <c r="E18" s="7">
        <v>-2.01186652006877</v>
      </c>
      <c r="F18" s="14">
        <v>41010</v>
      </c>
      <c r="G18" s="8">
        <f t="shared" si="0"/>
        <v>34389</v>
      </c>
      <c r="H18" s="15">
        <v>30.3</v>
      </c>
      <c r="I18" s="15">
        <v>44.4</v>
      </c>
      <c r="J18" s="14">
        <v>34142</v>
      </c>
      <c r="K18" s="14">
        <v>54471</v>
      </c>
      <c r="L18" s="13">
        <v>19293</v>
      </c>
      <c r="M18" s="13">
        <v>18463</v>
      </c>
      <c r="N18" s="13">
        <v>38951</v>
      </c>
      <c r="O18" s="13">
        <v>33050</v>
      </c>
      <c r="P18" s="13">
        <v>1531</v>
      </c>
      <c r="Q18" s="13">
        <v>1867</v>
      </c>
      <c r="R18" s="9">
        <f t="shared" si="1"/>
        <v>113155</v>
      </c>
    </row>
    <row r="19" spans="1:18">
      <c r="A19" s="6" t="s">
        <v>27</v>
      </c>
      <c r="B19" s="16" t="s">
        <v>39</v>
      </c>
      <c r="C19" s="6" t="s">
        <v>22</v>
      </c>
      <c r="D19" s="7">
        <v>6.43975084999999</v>
      </c>
      <c r="E19" s="7">
        <v>-1.85237045719587</v>
      </c>
      <c r="F19" s="14">
        <v>34157</v>
      </c>
      <c r="G19" s="8">
        <f t="shared" si="0"/>
        <v>37321</v>
      </c>
      <c r="H19" s="15">
        <v>31</v>
      </c>
      <c r="I19" s="15">
        <v>44.7</v>
      </c>
      <c r="J19" s="14">
        <v>30406</v>
      </c>
      <c r="K19" s="14">
        <v>48450</v>
      </c>
      <c r="L19" s="13">
        <v>20820</v>
      </c>
      <c r="M19" s="13">
        <v>20329</v>
      </c>
      <c r="N19" s="13">
        <v>35110</v>
      </c>
      <c r="O19" s="13">
        <v>32074</v>
      </c>
      <c r="P19" s="13">
        <v>1803</v>
      </c>
      <c r="Q19" s="13">
        <v>2491</v>
      </c>
      <c r="R19" s="9">
        <f t="shared" si="1"/>
        <v>112627</v>
      </c>
    </row>
    <row r="20" spans="1:18">
      <c r="A20" s="6" t="s">
        <v>27</v>
      </c>
      <c r="B20" s="16" t="s">
        <v>40</v>
      </c>
      <c r="C20" s="6" t="s">
        <v>20</v>
      </c>
      <c r="D20" s="7">
        <v>6.56465915</v>
      </c>
      <c r="E20" s="7">
        <v>-1.25347851347396</v>
      </c>
      <c r="F20" s="14">
        <v>29453</v>
      </c>
      <c r="G20" s="8">
        <f t="shared" si="0"/>
        <v>30820</v>
      </c>
      <c r="H20" s="15">
        <v>16.9</v>
      </c>
      <c r="I20" s="15">
        <v>42.6</v>
      </c>
      <c r="J20" s="14">
        <v>15786</v>
      </c>
      <c r="K20" s="14">
        <v>18044</v>
      </c>
      <c r="L20" s="13">
        <v>15871</v>
      </c>
      <c r="M20" s="13">
        <v>15529</v>
      </c>
      <c r="N20" s="13">
        <v>27013</v>
      </c>
      <c r="O20" s="13">
        <v>29228</v>
      </c>
      <c r="P20" s="13">
        <v>1623</v>
      </c>
      <c r="Q20" s="13">
        <v>2409</v>
      </c>
      <c r="R20" s="9">
        <f t="shared" si="1"/>
        <v>91673</v>
      </c>
    </row>
    <row r="21" spans="1:18">
      <c r="A21" s="6" t="s">
        <v>27</v>
      </c>
      <c r="B21" s="16" t="s">
        <v>41</v>
      </c>
      <c r="C21" s="6" t="s">
        <v>20</v>
      </c>
      <c r="D21" s="7">
        <v>6.906722</v>
      </c>
      <c r="E21" s="7">
        <v>-0.958978</v>
      </c>
      <c r="F21" s="14">
        <v>29855</v>
      </c>
      <c r="G21" s="8">
        <f t="shared" si="0"/>
        <v>26615</v>
      </c>
      <c r="H21" s="15">
        <v>26</v>
      </c>
      <c r="I21" s="15">
        <v>42.1</v>
      </c>
      <c r="J21" s="14">
        <v>20318</v>
      </c>
      <c r="K21" s="14">
        <v>28968</v>
      </c>
      <c r="L21" s="13">
        <v>14574</v>
      </c>
      <c r="M21" s="13">
        <v>14158</v>
      </c>
      <c r="N21" s="13">
        <v>25316</v>
      </c>
      <c r="O21" s="13">
        <v>26886</v>
      </c>
      <c r="P21" s="13">
        <v>1799</v>
      </c>
      <c r="Q21" s="13">
        <v>2469</v>
      </c>
      <c r="R21" s="9">
        <f t="shared" si="1"/>
        <v>85202</v>
      </c>
    </row>
    <row r="22" spans="1:18">
      <c r="A22" s="6" t="s">
        <v>27</v>
      </c>
      <c r="B22" s="16" t="s">
        <v>42</v>
      </c>
      <c r="C22" s="6" t="s">
        <v>20</v>
      </c>
      <c r="D22" s="7">
        <v>6.46141735</v>
      </c>
      <c r="E22" s="7">
        <v>-1.11533920112058</v>
      </c>
      <c r="F22" s="14">
        <v>43495</v>
      </c>
      <c r="G22" s="8">
        <f t="shared" si="0"/>
        <v>33950</v>
      </c>
      <c r="H22" s="15">
        <v>24.6</v>
      </c>
      <c r="I22" s="15">
        <v>42.2</v>
      </c>
      <c r="J22" s="14">
        <v>31673</v>
      </c>
      <c r="K22" s="14">
        <v>40319</v>
      </c>
      <c r="L22" s="13">
        <v>23973</v>
      </c>
      <c r="M22" s="13">
        <v>22215</v>
      </c>
      <c r="N22" s="13">
        <v>34657</v>
      </c>
      <c r="O22" s="13">
        <v>35653</v>
      </c>
      <c r="P22" s="13">
        <v>3085</v>
      </c>
      <c r="Q22" s="13">
        <v>4050</v>
      </c>
      <c r="R22" s="9">
        <f t="shared" si="1"/>
        <v>123633</v>
      </c>
    </row>
    <row r="23" spans="1:18">
      <c r="A23" s="6" t="s">
        <v>27</v>
      </c>
      <c r="B23" s="16" t="s">
        <v>43</v>
      </c>
      <c r="C23" s="6" t="s">
        <v>20</v>
      </c>
      <c r="D23" s="7">
        <v>6.7077852</v>
      </c>
      <c r="E23" s="7">
        <v>-1.5665013</v>
      </c>
      <c r="F23" s="14">
        <v>66200</v>
      </c>
      <c r="G23" s="8">
        <f t="shared" si="0"/>
        <v>62382</v>
      </c>
      <c r="H23" s="15">
        <v>11.3</v>
      </c>
      <c r="I23" s="15">
        <v>42.7</v>
      </c>
      <c r="J23" s="14">
        <v>37038</v>
      </c>
      <c r="K23" s="14">
        <v>38807</v>
      </c>
      <c r="L23" s="13">
        <v>31486</v>
      </c>
      <c r="M23" s="13">
        <v>31334</v>
      </c>
      <c r="N23" s="13">
        <v>58782</v>
      </c>
      <c r="O23" s="13">
        <v>62187</v>
      </c>
      <c r="P23" s="13">
        <v>3238</v>
      </c>
      <c r="Q23" s="13">
        <v>4375</v>
      </c>
      <c r="R23" s="9">
        <f t="shared" si="1"/>
        <v>191402</v>
      </c>
    </row>
    <row r="24" spans="1:18">
      <c r="A24" s="6" t="s">
        <v>27</v>
      </c>
      <c r="B24" s="16" t="s">
        <v>44</v>
      </c>
      <c r="C24" s="6" t="s">
        <v>20</v>
      </c>
      <c r="D24" s="7">
        <v>6.6739843</v>
      </c>
      <c r="E24" s="7">
        <v>-1.6026178</v>
      </c>
      <c r="F24" s="14">
        <v>48298</v>
      </c>
      <c r="G24" s="8">
        <f t="shared" si="0"/>
        <v>38057</v>
      </c>
      <c r="H24" s="15">
        <v>6.3</v>
      </c>
      <c r="I24" s="15">
        <v>41.4</v>
      </c>
      <c r="J24" s="14">
        <v>13484</v>
      </c>
      <c r="K24" s="14">
        <v>17901</v>
      </c>
      <c r="L24" s="13">
        <v>19479</v>
      </c>
      <c r="M24" s="13">
        <v>19808</v>
      </c>
      <c r="N24" s="13">
        <v>39593</v>
      </c>
      <c r="O24" s="13">
        <v>41790</v>
      </c>
      <c r="P24" s="13">
        <v>1928</v>
      </c>
      <c r="Q24" s="13">
        <v>3044</v>
      </c>
      <c r="R24" s="9">
        <f t="shared" si="1"/>
        <v>125642</v>
      </c>
    </row>
    <row r="25" s="2" customFormat="1" spans="1:18">
      <c r="A25" s="6" t="s">
        <v>27</v>
      </c>
      <c r="B25" s="16" t="s">
        <v>45</v>
      </c>
      <c r="C25" s="6" t="s">
        <v>22</v>
      </c>
      <c r="D25" s="7">
        <v>6.65</v>
      </c>
      <c r="E25" s="7">
        <v>-1.73333</v>
      </c>
      <c r="F25" s="14">
        <v>74959</v>
      </c>
      <c r="G25" s="8">
        <f t="shared" si="0"/>
        <v>74937</v>
      </c>
      <c r="H25" s="15">
        <v>13.8</v>
      </c>
      <c r="I25" s="15">
        <v>43.3</v>
      </c>
      <c r="J25" s="14">
        <v>31864</v>
      </c>
      <c r="K25" s="14">
        <v>61419</v>
      </c>
      <c r="L25" s="13">
        <v>42664</v>
      </c>
      <c r="M25" s="13">
        <v>42286</v>
      </c>
      <c r="N25" s="13">
        <v>68316</v>
      </c>
      <c r="O25" s="13">
        <v>73750</v>
      </c>
      <c r="P25" s="13">
        <v>3143</v>
      </c>
      <c r="Q25" s="13">
        <v>4687</v>
      </c>
      <c r="R25" s="9">
        <f t="shared" si="1"/>
        <v>234846</v>
      </c>
    </row>
    <row r="26" s="2" customFormat="1" spans="1:18">
      <c r="A26" s="6" t="s">
        <v>27</v>
      </c>
      <c r="B26" s="16" t="s">
        <v>46</v>
      </c>
      <c r="C26" s="6" t="s">
        <v>22</v>
      </c>
      <c r="D26" s="7">
        <v>6.5558963</v>
      </c>
      <c r="E26" s="7">
        <v>-2.17659077213842</v>
      </c>
      <c r="F26" s="14">
        <v>54588</v>
      </c>
      <c r="G26" s="8">
        <f t="shared" si="0"/>
        <v>42035</v>
      </c>
      <c r="H26" s="15">
        <v>25.1</v>
      </c>
      <c r="I26" s="15">
        <v>42.4</v>
      </c>
      <c r="J26" s="14">
        <v>45371</v>
      </c>
      <c r="K26" s="14">
        <v>37467</v>
      </c>
      <c r="L26" s="13">
        <v>30112</v>
      </c>
      <c r="M26" s="13">
        <v>28519</v>
      </c>
      <c r="N26" s="13">
        <v>47076</v>
      </c>
      <c r="O26" s="13">
        <v>43265</v>
      </c>
      <c r="P26" s="13">
        <v>3047</v>
      </c>
      <c r="Q26" s="13">
        <v>3235</v>
      </c>
      <c r="R26" s="9">
        <f t="shared" si="1"/>
        <v>155254</v>
      </c>
    </row>
    <row r="27" spans="1:18">
      <c r="A27" s="6" t="s">
        <v>27</v>
      </c>
      <c r="B27" s="16" t="s">
        <v>47</v>
      </c>
      <c r="C27" s="6" t="s">
        <v>22</v>
      </c>
      <c r="D27" s="7">
        <v>6.87764335</v>
      </c>
      <c r="E27" s="7">
        <v>-1.74489585317473</v>
      </c>
      <c r="F27" s="14">
        <v>48562</v>
      </c>
      <c r="G27" s="8">
        <f t="shared" si="0"/>
        <v>50393</v>
      </c>
      <c r="H27" s="15">
        <v>13.5</v>
      </c>
      <c r="I27" s="15">
        <v>43.1</v>
      </c>
      <c r="J27" s="14">
        <v>24396</v>
      </c>
      <c r="K27" s="14">
        <v>33196</v>
      </c>
      <c r="L27" s="13">
        <v>28123</v>
      </c>
      <c r="M27" s="13">
        <v>27947</v>
      </c>
      <c r="N27" s="13">
        <v>46519</v>
      </c>
      <c r="O27" s="13">
        <v>47225</v>
      </c>
      <c r="P27" s="13">
        <v>2235</v>
      </c>
      <c r="Q27" s="13">
        <v>2976</v>
      </c>
      <c r="R27" s="9">
        <f t="shared" si="1"/>
        <v>155025</v>
      </c>
    </row>
    <row r="28" spans="1:18">
      <c r="A28" s="6" t="s">
        <v>27</v>
      </c>
      <c r="B28" s="16" t="s">
        <v>48</v>
      </c>
      <c r="C28" s="6" t="s">
        <v>20</v>
      </c>
      <c r="D28" s="7">
        <v>7.0689359</v>
      </c>
      <c r="E28" s="7">
        <v>-2.0226618</v>
      </c>
      <c r="F28" s="14">
        <v>54304</v>
      </c>
      <c r="G28" s="8">
        <f t="shared" si="0"/>
        <v>50942</v>
      </c>
      <c r="H28" s="15">
        <v>12.5</v>
      </c>
      <c r="I28" s="15">
        <v>43</v>
      </c>
      <c r="J28" s="14">
        <v>22396</v>
      </c>
      <c r="K28" s="14">
        <v>37941</v>
      </c>
      <c r="L28" s="13">
        <v>28597</v>
      </c>
      <c r="M28" s="13">
        <v>28050</v>
      </c>
      <c r="N28" s="13">
        <v>47365</v>
      </c>
      <c r="O28" s="13">
        <v>52189</v>
      </c>
      <c r="P28" s="13">
        <v>2372</v>
      </c>
      <c r="Q28" s="13">
        <v>3320</v>
      </c>
      <c r="R28" s="9">
        <f t="shared" si="1"/>
        <v>161893</v>
      </c>
    </row>
    <row r="29" spans="1:18">
      <c r="A29" s="6" t="s">
        <v>27</v>
      </c>
      <c r="B29" s="16" t="s">
        <v>49</v>
      </c>
      <c r="C29" s="6" t="s">
        <v>20</v>
      </c>
      <c r="D29" s="7">
        <v>6.43631235</v>
      </c>
      <c r="E29" s="7">
        <v>-1.59282285301503</v>
      </c>
      <c r="F29" s="14">
        <v>44017</v>
      </c>
      <c r="G29" s="8">
        <f t="shared" si="0"/>
        <v>45866</v>
      </c>
      <c r="H29" s="15">
        <v>19.4</v>
      </c>
      <c r="I29" s="15">
        <v>43.6</v>
      </c>
      <c r="J29" s="14">
        <v>24658</v>
      </c>
      <c r="K29" s="14">
        <v>38214</v>
      </c>
      <c r="L29" s="13">
        <v>24713</v>
      </c>
      <c r="M29" s="13">
        <v>23371</v>
      </c>
      <c r="N29" s="13">
        <v>38899</v>
      </c>
      <c r="O29" s="13">
        <v>43202</v>
      </c>
      <c r="P29" s="13">
        <v>3004</v>
      </c>
      <c r="Q29" s="13">
        <v>4778</v>
      </c>
      <c r="R29" s="9">
        <f t="shared" si="1"/>
        <v>137967</v>
      </c>
    </row>
    <row r="30" s="3" customFormat="1" spans="1:18">
      <c r="A30" s="6" t="s">
        <v>27</v>
      </c>
      <c r="B30" s="16" t="s">
        <v>50</v>
      </c>
      <c r="C30" s="6" t="s">
        <v>22</v>
      </c>
      <c r="D30" s="7">
        <v>6.3681227</v>
      </c>
      <c r="E30" s="7">
        <v>-1.36632312680072</v>
      </c>
      <c r="F30" s="14">
        <v>22887</v>
      </c>
      <c r="G30" s="8">
        <f t="shared" si="0"/>
        <v>15579</v>
      </c>
      <c r="H30" s="15">
        <v>31.3</v>
      </c>
      <c r="I30" s="15">
        <v>41</v>
      </c>
      <c r="J30" s="14">
        <v>17772</v>
      </c>
      <c r="K30" s="14">
        <v>30539</v>
      </c>
      <c r="L30" s="13">
        <v>12446</v>
      </c>
      <c r="M30" s="13">
        <v>11347</v>
      </c>
      <c r="N30" s="13">
        <v>17554</v>
      </c>
      <c r="O30" s="13">
        <v>17537</v>
      </c>
      <c r="P30" s="13">
        <v>1427</v>
      </c>
      <c r="Q30" s="13">
        <v>1948</v>
      </c>
      <c r="R30" s="9">
        <f t="shared" si="1"/>
        <v>62259</v>
      </c>
    </row>
    <row r="31" s="3" customFormat="1" spans="1:18">
      <c r="A31" s="6" t="s">
        <v>27</v>
      </c>
      <c r="B31" s="16" t="s">
        <v>51</v>
      </c>
      <c r="C31" s="6" t="s">
        <v>22</v>
      </c>
      <c r="D31" s="7">
        <v>6.1777503</v>
      </c>
      <c r="E31" s="7">
        <v>-0.1969922</v>
      </c>
      <c r="F31" s="14">
        <v>52679</v>
      </c>
      <c r="G31" s="8">
        <f t="shared" si="0"/>
        <v>52871</v>
      </c>
      <c r="H31" s="15">
        <v>16.1</v>
      </c>
      <c r="I31" s="15">
        <v>43.8</v>
      </c>
      <c r="J31" s="14">
        <v>22913</v>
      </c>
      <c r="K31" s="14">
        <v>46767</v>
      </c>
      <c r="L31" s="13">
        <v>30581</v>
      </c>
      <c r="M31" s="13">
        <v>29049</v>
      </c>
      <c r="N31" s="13">
        <v>47098</v>
      </c>
      <c r="O31" s="13">
        <v>51530</v>
      </c>
      <c r="P31" s="13">
        <v>2749</v>
      </c>
      <c r="Q31" s="13">
        <v>4173</v>
      </c>
      <c r="R31" s="9">
        <f t="shared" si="1"/>
        <v>165180</v>
      </c>
    </row>
    <row r="32" s="3" customFormat="1" spans="1:18">
      <c r="A32" s="6" t="s">
        <v>27</v>
      </c>
      <c r="B32" s="16" t="s">
        <v>52</v>
      </c>
      <c r="C32" s="6" t="s">
        <v>20</v>
      </c>
      <c r="D32" s="7">
        <v>6.7139918</v>
      </c>
      <c r="E32" s="7">
        <v>-1.4665782</v>
      </c>
      <c r="F32" s="14">
        <v>58604</v>
      </c>
      <c r="G32" s="8">
        <f t="shared" si="0"/>
        <v>59932</v>
      </c>
      <c r="H32" s="15">
        <v>13.5</v>
      </c>
      <c r="I32" s="15">
        <v>43.6</v>
      </c>
      <c r="J32" s="14">
        <v>26943</v>
      </c>
      <c r="K32" s="14">
        <v>39195</v>
      </c>
      <c r="L32" s="13">
        <v>31700</v>
      </c>
      <c r="M32" s="13">
        <v>30487</v>
      </c>
      <c r="N32" s="13">
        <v>53047</v>
      </c>
      <c r="O32" s="13">
        <v>57696</v>
      </c>
      <c r="P32" s="13">
        <v>3089</v>
      </c>
      <c r="Q32" s="13">
        <v>4704</v>
      </c>
      <c r="R32" s="9">
        <f t="shared" si="1"/>
        <v>180723</v>
      </c>
    </row>
    <row r="33" s="3" customFormat="1" spans="1:18">
      <c r="A33" s="6" t="s">
        <v>27</v>
      </c>
      <c r="B33" s="16" t="s">
        <v>53</v>
      </c>
      <c r="C33" s="6" t="s">
        <v>20</v>
      </c>
      <c r="D33" s="7">
        <v>7.38567515</v>
      </c>
      <c r="E33" s="7">
        <v>-1.39945747215309</v>
      </c>
      <c r="F33" s="14">
        <v>43982</v>
      </c>
      <c r="G33" s="8">
        <f t="shared" si="0"/>
        <v>38761</v>
      </c>
      <c r="H33" s="15">
        <v>25</v>
      </c>
      <c r="I33" s="15">
        <v>42.2</v>
      </c>
      <c r="J33" s="14">
        <v>49399</v>
      </c>
      <c r="K33" s="14">
        <v>46225</v>
      </c>
      <c r="L33" s="13">
        <v>28117</v>
      </c>
      <c r="M33" s="13">
        <v>26812</v>
      </c>
      <c r="N33" s="13">
        <v>38155</v>
      </c>
      <c r="O33" s="13">
        <v>39464</v>
      </c>
      <c r="P33" s="13">
        <v>2279</v>
      </c>
      <c r="Q33" s="13">
        <v>2845</v>
      </c>
      <c r="R33" s="9">
        <f t="shared" si="1"/>
        <v>137672</v>
      </c>
    </row>
    <row r="34" s="3" customFormat="1" spans="1:18">
      <c r="A34" s="6" t="s">
        <v>27</v>
      </c>
      <c r="B34" s="16" t="s">
        <v>54</v>
      </c>
      <c r="C34" s="6" t="s">
        <v>20</v>
      </c>
      <c r="D34" s="7">
        <v>6.0721368</v>
      </c>
      <c r="E34" s="7">
        <v>-0.260652306105858</v>
      </c>
      <c r="F34" s="14">
        <v>21253</v>
      </c>
      <c r="G34" s="8">
        <f t="shared" si="0"/>
        <v>18934</v>
      </c>
      <c r="H34" s="15">
        <v>20.9</v>
      </c>
      <c r="I34" s="15">
        <v>43.1</v>
      </c>
      <c r="J34" s="14">
        <v>14046</v>
      </c>
      <c r="K34" s="14">
        <v>19449</v>
      </c>
      <c r="L34" s="13">
        <v>12078</v>
      </c>
      <c r="M34" s="13">
        <v>11664</v>
      </c>
      <c r="N34" s="13">
        <v>17669</v>
      </c>
      <c r="O34" s="13">
        <v>19128</v>
      </c>
      <c r="P34" s="13">
        <v>1456</v>
      </c>
      <c r="Q34" s="13">
        <v>1934</v>
      </c>
      <c r="R34" s="9">
        <f t="shared" si="1"/>
        <v>63929</v>
      </c>
    </row>
    <row r="35" s="2" customFormat="1" spans="1:18">
      <c r="A35" s="17" t="s">
        <v>27</v>
      </c>
      <c r="B35" s="18" t="s">
        <v>55</v>
      </c>
      <c r="C35" s="17" t="s">
        <v>56</v>
      </c>
      <c r="D35" s="19">
        <v>6.698152</v>
      </c>
      <c r="E35" s="19">
        <v>-1.621229</v>
      </c>
      <c r="F35" s="20">
        <v>164504</v>
      </c>
      <c r="G35" s="21">
        <f t="shared" si="0"/>
        <v>153397</v>
      </c>
      <c r="H35" s="22">
        <v>8.9</v>
      </c>
      <c r="I35" s="22">
        <v>42.3</v>
      </c>
      <c r="J35" s="20">
        <v>48041</v>
      </c>
      <c r="K35" s="20">
        <v>100117</v>
      </c>
      <c r="L35" s="23">
        <v>62261</v>
      </c>
      <c r="M35" s="23">
        <v>63783</v>
      </c>
      <c r="N35" s="23">
        <v>144185</v>
      </c>
      <c r="O35" s="23">
        <v>155625</v>
      </c>
      <c r="P35" s="23">
        <v>7216</v>
      </c>
      <c r="Q35" s="23">
        <v>10875</v>
      </c>
      <c r="R35" s="25">
        <f t="shared" si="1"/>
        <v>443945</v>
      </c>
    </row>
    <row r="36" spans="1:18">
      <c r="A36" s="6" t="s">
        <v>27</v>
      </c>
      <c r="B36" s="16" t="s">
        <v>57</v>
      </c>
      <c r="C36" s="6" t="s">
        <v>20</v>
      </c>
      <c r="D36" s="7">
        <v>6.7897864</v>
      </c>
      <c r="E36" s="7">
        <v>-1.53792852576917</v>
      </c>
      <c r="F36" s="14">
        <v>99847</v>
      </c>
      <c r="G36" s="8">
        <f t="shared" si="0"/>
        <v>89434</v>
      </c>
      <c r="H36" s="15">
        <v>10.6</v>
      </c>
      <c r="I36" s="15">
        <v>43.3</v>
      </c>
      <c r="J36" s="14">
        <v>38251</v>
      </c>
      <c r="K36" s="14">
        <v>72440</v>
      </c>
      <c r="L36" s="13">
        <v>54194</v>
      </c>
      <c r="M36" s="13">
        <v>53339</v>
      </c>
      <c r="N36" s="13">
        <v>85713</v>
      </c>
      <c r="O36" s="13">
        <v>93804</v>
      </c>
      <c r="P36" s="13">
        <v>3777</v>
      </c>
      <c r="Q36" s="13">
        <v>5987</v>
      </c>
      <c r="R36" s="9">
        <f t="shared" si="1"/>
        <v>296814</v>
      </c>
    </row>
    <row r="37" spans="1:18">
      <c r="A37" s="6" t="s">
        <v>27</v>
      </c>
      <c r="B37" s="16" t="s">
        <v>58</v>
      </c>
      <c r="C37" s="6" t="s">
        <v>20</v>
      </c>
      <c r="D37" s="7">
        <v>6.68059249999999</v>
      </c>
      <c r="E37" s="7">
        <v>-1.67467000057054</v>
      </c>
      <c r="F37" s="14">
        <v>53272</v>
      </c>
      <c r="G37" s="8">
        <f t="shared" si="0"/>
        <v>55768</v>
      </c>
      <c r="H37" s="15">
        <v>9.5</v>
      </c>
      <c r="I37" s="15">
        <v>42.4</v>
      </c>
      <c r="J37" s="14">
        <v>13021</v>
      </c>
      <c r="K37" s="14">
        <v>33490</v>
      </c>
      <c r="L37" s="13">
        <v>22551</v>
      </c>
      <c r="M37" s="13">
        <v>22935</v>
      </c>
      <c r="N37" s="13">
        <v>50312</v>
      </c>
      <c r="O37" s="13">
        <v>52889</v>
      </c>
      <c r="P37" s="13">
        <v>2342</v>
      </c>
      <c r="Q37" s="13">
        <v>3497</v>
      </c>
      <c r="R37" s="9">
        <f t="shared" si="1"/>
        <v>154526</v>
      </c>
    </row>
    <row r="38" spans="1:18">
      <c r="A38" s="6" t="s">
        <v>27</v>
      </c>
      <c r="B38" s="16" t="s">
        <v>59</v>
      </c>
      <c r="C38" s="6" t="s">
        <v>20</v>
      </c>
      <c r="D38" s="7">
        <v>7.056139</v>
      </c>
      <c r="E38" s="7">
        <v>-1.40425</v>
      </c>
      <c r="F38" s="14">
        <v>35620</v>
      </c>
      <c r="G38" s="8">
        <f t="shared" si="0"/>
        <v>41077</v>
      </c>
      <c r="H38" s="15">
        <v>22.5</v>
      </c>
      <c r="I38" s="15">
        <v>42.6</v>
      </c>
      <c r="J38" s="14">
        <v>24107</v>
      </c>
      <c r="K38" s="14">
        <v>34749</v>
      </c>
      <c r="L38" s="13">
        <v>20344</v>
      </c>
      <c r="M38" s="13">
        <v>19591</v>
      </c>
      <c r="N38" s="13">
        <v>34298</v>
      </c>
      <c r="O38" s="13">
        <v>36738</v>
      </c>
      <c r="P38" s="13">
        <v>2323</v>
      </c>
      <c r="Q38" s="13">
        <v>3338</v>
      </c>
      <c r="R38" s="9">
        <f t="shared" si="1"/>
        <v>116632</v>
      </c>
    </row>
    <row r="39" spans="1:18">
      <c r="A39" s="6" t="s">
        <v>27</v>
      </c>
      <c r="B39" s="16" t="s">
        <v>60</v>
      </c>
      <c r="C39" s="6" t="s">
        <v>20</v>
      </c>
      <c r="D39" s="7">
        <v>6.1796409</v>
      </c>
      <c r="E39" s="7">
        <v>-1.60356394182495</v>
      </c>
      <c r="F39" s="14">
        <v>29615</v>
      </c>
      <c r="G39" s="8">
        <f t="shared" si="0"/>
        <v>31180</v>
      </c>
      <c r="H39" s="15">
        <v>13.1</v>
      </c>
      <c r="I39" s="15">
        <v>42.7</v>
      </c>
      <c r="J39" s="14">
        <v>14306</v>
      </c>
      <c r="K39" s="14">
        <v>16076</v>
      </c>
      <c r="L39" s="13">
        <v>15730</v>
      </c>
      <c r="M39" s="13">
        <v>15876</v>
      </c>
      <c r="N39" s="13">
        <v>27879</v>
      </c>
      <c r="O39" s="13">
        <v>29934</v>
      </c>
      <c r="P39" s="13">
        <v>1318</v>
      </c>
      <c r="Q39" s="13">
        <v>1664</v>
      </c>
      <c r="R39" s="9">
        <f t="shared" si="1"/>
        <v>92401</v>
      </c>
    </row>
    <row r="40" spans="1:18">
      <c r="A40" s="6" t="s">
        <v>27</v>
      </c>
      <c r="B40" s="16" t="s">
        <v>61</v>
      </c>
      <c r="C40" s="6" t="s">
        <v>20</v>
      </c>
      <c r="D40" s="7">
        <v>6.211542</v>
      </c>
      <c r="E40" s="7">
        <v>-1.6894045</v>
      </c>
      <c r="F40" s="14">
        <v>36104</v>
      </c>
      <c r="G40" s="8">
        <f t="shared" si="0"/>
        <v>34814</v>
      </c>
      <c r="H40" s="15">
        <v>11.1</v>
      </c>
      <c r="I40" s="15">
        <v>42.8</v>
      </c>
      <c r="J40" s="14">
        <v>12845</v>
      </c>
      <c r="K40" s="14">
        <v>20504</v>
      </c>
      <c r="L40" s="13">
        <v>16924</v>
      </c>
      <c r="M40" s="13">
        <v>16455</v>
      </c>
      <c r="N40" s="13">
        <v>33517</v>
      </c>
      <c r="O40" s="13">
        <v>34084</v>
      </c>
      <c r="P40" s="13">
        <v>1444</v>
      </c>
      <c r="Q40" s="13">
        <v>1873</v>
      </c>
      <c r="R40" s="9">
        <f t="shared" si="1"/>
        <v>104297</v>
      </c>
    </row>
    <row r="41" spans="1:18">
      <c r="A41" s="6" t="s">
        <v>27</v>
      </c>
      <c r="B41" s="16" t="s">
        <v>62</v>
      </c>
      <c r="C41" s="6" t="s">
        <v>20</v>
      </c>
      <c r="D41" s="7">
        <v>7.05794129999999</v>
      </c>
      <c r="E41" s="7">
        <v>-1.73462655987467</v>
      </c>
      <c r="F41" s="14">
        <v>42048</v>
      </c>
      <c r="G41" s="8">
        <f t="shared" si="0"/>
        <v>43960</v>
      </c>
      <c r="H41" s="15">
        <v>23.5</v>
      </c>
      <c r="I41" s="15">
        <v>42.8</v>
      </c>
      <c r="J41" s="14">
        <v>34107</v>
      </c>
      <c r="K41" s="14">
        <v>42296</v>
      </c>
      <c r="L41" s="13">
        <v>26183</v>
      </c>
      <c r="M41" s="13">
        <v>25081</v>
      </c>
      <c r="N41" s="13">
        <v>38040</v>
      </c>
      <c r="O41" s="13">
        <v>42369</v>
      </c>
      <c r="P41" s="13">
        <v>2346</v>
      </c>
      <c r="Q41" s="13">
        <v>3253</v>
      </c>
      <c r="R41" s="9">
        <f t="shared" si="1"/>
        <v>137272</v>
      </c>
    </row>
    <row r="42" spans="1:18">
      <c r="A42" s="6" t="s">
        <v>27</v>
      </c>
      <c r="B42" s="16" t="s">
        <v>63</v>
      </c>
      <c r="C42" s="6" t="s">
        <v>22</v>
      </c>
      <c r="D42" s="7">
        <v>7.27974815</v>
      </c>
      <c r="E42" s="7">
        <v>-1.79832745610104</v>
      </c>
      <c r="F42" s="14">
        <v>28302</v>
      </c>
      <c r="G42" s="8">
        <f t="shared" si="0"/>
        <v>22051</v>
      </c>
      <c r="H42" s="15">
        <v>34.3</v>
      </c>
      <c r="I42" s="15">
        <v>41.5</v>
      </c>
      <c r="J42" s="14">
        <v>31198</v>
      </c>
      <c r="K42" s="14">
        <v>27930</v>
      </c>
      <c r="L42" s="13">
        <v>16942</v>
      </c>
      <c r="M42" s="13">
        <v>16145</v>
      </c>
      <c r="N42" s="13">
        <v>22483</v>
      </c>
      <c r="O42" s="13">
        <v>24424</v>
      </c>
      <c r="P42" s="13">
        <v>1532</v>
      </c>
      <c r="Q42" s="13">
        <v>1914</v>
      </c>
      <c r="R42" s="9">
        <f t="shared" si="1"/>
        <v>83440</v>
      </c>
    </row>
    <row r="43" spans="1:18">
      <c r="A43" s="6" t="s">
        <v>27</v>
      </c>
      <c r="B43" s="16" t="s">
        <v>64</v>
      </c>
      <c r="C43" s="6" t="s">
        <v>20</v>
      </c>
      <c r="D43" s="7">
        <v>6.672717</v>
      </c>
      <c r="E43" s="7">
        <v>-1.5504236985326</v>
      </c>
      <c r="F43" s="14">
        <v>64286</v>
      </c>
      <c r="G43" s="8">
        <f t="shared" si="0"/>
        <v>95659</v>
      </c>
      <c r="H43" s="15">
        <v>10</v>
      </c>
      <c r="I43" s="15">
        <v>42.8</v>
      </c>
      <c r="J43" s="14">
        <v>21529</v>
      </c>
      <c r="K43" s="14">
        <v>49047</v>
      </c>
      <c r="L43" s="13">
        <v>26682</v>
      </c>
      <c r="M43" s="13">
        <v>26499</v>
      </c>
      <c r="N43" s="13">
        <v>77870</v>
      </c>
      <c r="O43" s="13">
        <v>75115</v>
      </c>
      <c r="P43" s="13">
        <v>2874</v>
      </c>
      <c r="Q43" s="13">
        <v>4086</v>
      </c>
      <c r="R43" s="9">
        <f t="shared" si="1"/>
        <v>213126</v>
      </c>
    </row>
    <row r="44" spans="1:18">
      <c r="A44" s="6" t="s">
        <v>27</v>
      </c>
      <c r="B44" s="16" t="s">
        <v>65</v>
      </c>
      <c r="C44" s="6" t="s">
        <v>20</v>
      </c>
      <c r="D44" s="7">
        <v>6.74083555</v>
      </c>
      <c r="E44" s="7">
        <v>-1.60465968075918</v>
      </c>
      <c r="F44" s="14">
        <v>42408</v>
      </c>
      <c r="G44" s="8">
        <f t="shared" si="0"/>
        <v>35138</v>
      </c>
      <c r="H44" s="15">
        <v>9.2</v>
      </c>
      <c r="I44" s="15">
        <v>42.9</v>
      </c>
      <c r="J44" s="14">
        <v>13412</v>
      </c>
      <c r="K44" s="14">
        <v>28189</v>
      </c>
      <c r="L44" s="13">
        <v>18483</v>
      </c>
      <c r="M44" s="13">
        <v>18339</v>
      </c>
      <c r="N44" s="13">
        <v>34972</v>
      </c>
      <c r="O44" s="13">
        <v>38512</v>
      </c>
      <c r="P44" s="13">
        <v>1631</v>
      </c>
      <c r="Q44" s="13">
        <v>2431</v>
      </c>
      <c r="R44" s="9">
        <f t="shared" si="1"/>
        <v>114368</v>
      </c>
    </row>
    <row r="45" spans="1:18">
      <c r="A45" s="6" t="s">
        <v>27</v>
      </c>
      <c r="B45" s="16" t="s">
        <v>66</v>
      </c>
      <c r="C45" s="6" t="s">
        <v>22</v>
      </c>
      <c r="D45" s="7">
        <v>7.20286155</v>
      </c>
      <c r="E45" s="7">
        <v>-0.592081996515861</v>
      </c>
      <c r="F45" s="14">
        <v>10858</v>
      </c>
      <c r="G45" s="8">
        <f t="shared" si="0"/>
        <v>7985</v>
      </c>
      <c r="H45" s="15">
        <v>50.5</v>
      </c>
      <c r="I45" s="15">
        <v>40.8</v>
      </c>
      <c r="J45" s="14">
        <v>17179</v>
      </c>
      <c r="K45" s="14">
        <v>21066</v>
      </c>
      <c r="L45" s="13">
        <v>7452</v>
      </c>
      <c r="M45" s="13">
        <v>6931</v>
      </c>
      <c r="N45" s="13">
        <v>9951</v>
      </c>
      <c r="O45" s="13">
        <v>8183</v>
      </c>
      <c r="P45" s="13">
        <v>410</v>
      </c>
      <c r="Q45" s="13">
        <v>299</v>
      </c>
      <c r="R45" s="9">
        <f t="shared" si="1"/>
        <v>33226</v>
      </c>
    </row>
    <row r="46" spans="1:18">
      <c r="A46" s="6" t="s">
        <v>27</v>
      </c>
      <c r="B46" s="16" t="s">
        <v>67</v>
      </c>
      <c r="C46" s="6" t="s">
        <v>22</v>
      </c>
      <c r="D46" s="7">
        <v>7.21625465</v>
      </c>
      <c r="E46" s="7">
        <v>-1.09955606489201</v>
      </c>
      <c r="F46" s="14">
        <v>23803</v>
      </c>
      <c r="G46" s="8">
        <f t="shared" si="0"/>
        <v>21724</v>
      </c>
      <c r="H46" s="15">
        <v>39.8</v>
      </c>
      <c r="I46" s="15">
        <v>42.4</v>
      </c>
      <c r="J46" s="14">
        <v>24179</v>
      </c>
      <c r="K46" s="14">
        <v>38329</v>
      </c>
      <c r="L46" s="13">
        <v>14277</v>
      </c>
      <c r="M46" s="13">
        <v>13424</v>
      </c>
      <c r="N46" s="13">
        <v>20482</v>
      </c>
      <c r="O46" s="13">
        <v>20859</v>
      </c>
      <c r="P46" s="13">
        <v>1731</v>
      </c>
      <c r="Q46" s="13">
        <v>2455</v>
      </c>
      <c r="R46" s="9">
        <f t="shared" si="1"/>
        <v>73228</v>
      </c>
    </row>
    <row r="47" spans="1:18">
      <c r="A47" s="6" t="s">
        <v>27</v>
      </c>
      <c r="B47" s="16" t="s">
        <v>68</v>
      </c>
      <c r="C47" s="6" t="s">
        <v>22</v>
      </c>
      <c r="D47" s="7">
        <v>6.77947295</v>
      </c>
      <c r="E47" s="7">
        <v>-1.29935419961981</v>
      </c>
      <c r="F47" s="14">
        <v>23709</v>
      </c>
      <c r="G47" s="8">
        <f t="shared" si="0"/>
        <v>24423</v>
      </c>
      <c r="H47" s="15">
        <v>17.3</v>
      </c>
      <c r="I47" s="15">
        <v>42.5</v>
      </c>
      <c r="J47" s="14">
        <v>12874</v>
      </c>
      <c r="K47" s="14">
        <v>17639</v>
      </c>
      <c r="L47" s="13">
        <v>13736</v>
      </c>
      <c r="M47" s="13">
        <v>12921</v>
      </c>
      <c r="N47" s="13">
        <v>20506</v>
      </c>
      <c r="O47" s="13">
        <v>23780</v>
      </c>
      <c r="P47" s="13">
        <v>1489</v>
      </c>
      <c r="Q47" s="13">
        <v>2357</v>
      </c>
      <c r="R47" s="9">
        <f t="shared" si="1"/>
        <v>74789</v>
      </c>
    </row>
    <row r="48" spans="1:18">
      <c r="A48" s="6" t="s">
        <v>27</v>
      </c>
      <c r="B48" s="16" t="s">
        <v>69</v>
      </c>
      <c r="C48" s="6" t="s">
        <v>22</v>
      </c>
      <c r="D48" s="7">
        <v>6.9098849</v>
      </c>
      <c r="E48" s="7">
        <v>-1.23942940155571</v>
      </c>
      <c r="F48" s="14">
        <v>20110</v>
      </c>
      <c r="G48" s="8">
        <f t="shared" si="0"/>
        <v>20475</v>
      </c>
      <c r="H48" s="15">
        <v>23.9</v>
      </c>
      <c r="I48" s="15">
        <v>42.9</v>
      </c>
      <c r="J48" s="14">
        <v>13090</v>
      </c>
      <c r="K48" s="14">
        <v>23038</v>
      </c>
      <c r="L48" s="13">
        <v>12071</v>
      </c>
      <c r="M48" s="13">
        <v>11740</v>
      </c>
      <c r="N48" s="13">
        <v>17308</v>
      </c>
      <c r="O48" s="13">
        <v>19228</v>
      </c>
      <c r="P48" s="13">
        <v>1511</v>
      </c>
      <c r="Q48" s="13">
        <v>2538</v>
      </c>
      <c r="R48" s="9">
        <f t="shared" si="1"/>
        <v>64396</v>
      </c>
    </row>
    <row r="49" s="2" customFormat="1" spans="1:18">
      <c r="A49" s="6" t="s">
        <v>27</v>
      </c>
      <c r="B49" s="16" t="s">
        <v>70</v>
      </c>
      <c r="C49" s="6" t="s">
        <v>22</v>
      </c>
      <c r="D49" s="7">
        <v>6.99532965</v>
      </c>
      <c r="E49" s="7">
        <v>-1.50292100938884</v>
      </c>
      <c r="F49" s="14">
        <v>36646</v>
      </c>
      <c r="G49" s="8">
        <f t="shared" si="0"/>
        <v>41020</v>
      </c>
      <c r="H49" s="15">
        <v>22.6</v>
      </c>
      <c r="I49" s="15">
        <v>42.8</v>
      </c>
      <c r="J49" s="14">
        <v>21298</v>
      </c>
      <c r="K49" s="14">
        <v>32338</v>
      </c>
      <c r="L49" s="13">
        <v>21744</v>
      </c>
      <c r="M49" s="13">
        <v>20666</v>
      </c>
      <c r="N49" s="13">
        <v>33678</v>
      </c>
      <c r="O49" s="13">
        <v>37497</v>
      </c>
      <c r="P49" s="13">
        <v>2643</v>
      </c>
      <c r="Q49" s="13">
        <v>3848</v>
      </c>
      <c r="R49" s="9">
        <f t="shared" si="1"/>
        <v>120076</v>
      </c>
    </row>
    <row r="50" s="2" customFormat="1" spans="1:18">
      <c r="A50" s="6" t="s">
        <v>27</v>
      </c>
      <c r="B50" s="16" t="s">
        <v>71</v>
      </c>
      <c r="C50" s="6" t="s">
        <v>20</v>
      </c>
      <c r="D50" s="7">
        <v>6.738487</v>
      </c>
      <c r="E50" s="7">
        <v>-1.62476687694823</v>
      </c>
      <c r="F50" s="14">
        <v>52028</v>
      </c>
      <c r="G50" s="8">
        <f t="shared" si="0"/>
        <v>40036</v>
      </c>
      <c r="H50" s="15">
        <v>8.7</v>
      </c>
      <c r="I50" s="15">
        <v>42.7</v>
      </c>
      <c r="J50" s="14">
        <v>14098</v>
      </c>
      <c r="K50" s="14">
        <v>32285</v>
      </c>
      <c r="L50" s="13">
        <v>21799</v>
      </c>
      <c r="M50" s="13">
        <v>22427</v>
      </c>
      <c r="N50" s="13">
        <v>41237</v>
      </c>
      <c r="O50" s="13">
        <v>46222</v>
      </c>
      <c r="P50" s="13">
        <v>1842</v>
      </c>
      <c r="Q50" s="13">
        <v>2763</v>
      </c>
      <c r="R50" s="9">
        <f t="shared" si="1"/>
        <v>136290</v>
      </c>
    </row>
    <row r="51" s="2" customFormat="1" spans="1:18">
      <c r="A51" s="6" t="s">
        <v>72</v>
      </c>
      <c r="B51" s="16" t="s">
        <v>73</v>
      </c>
      <c r="C51" s="6" t="s">
        <v>22</v>
      </c>
      <c r="D51" s="7">
        <v>8.1645269</v>
      </c>
      <c r="E51" s="7">
        <v>-2.3569966</v>
      </c>
      <c r="F51" s="14">
        <v>7746</v>
      </c>
      <c r="G51" s="8">
        <f t="shared" si="0"/>
        <v>10025</v>
      </c>
      <c r="H51" s="15">
        <v>35.7</v>
      </c>
      <c r="I51" s="15">
        <v>43.7</v>
      </c>
      <c r="J51" s="14">
        <v>11732</v>
      </c>
      <c r="K51" s="14">
        <v>6648</v>
      </c>
      <c r="L51" s="13">
        <v>5465</v>
      </c>
      <c r="M51" s="13">
        <v>4943</v>
      </c>
      <c r="N51" s="13">
        <v>8765</v>
      </c>
      <c r="O51" s="13">
        <v>7659</v>
      </c>
      <c r="P51" s="13">
        <v>583</v>
      </c>
      <c r="Q51" s="13">
        <v>764</v>
      </c>
      <c r="R51" s="9">
        <f t="shared" si="1"/>
        <v>28179</v>
      </c>
    </row>
    <row r="52" spans="1:18">
      <c r="A52" s="6" t="s">
        <v>72</v>
      </c>
      <c r="B52" s="16" t="s">
        <v>74</v>
      </c>
      <c r="C52" s="6" t="s">
        <v>20</v>
      </c>
      <c r="D52" s="7">
        <v>7.4848835</v>
      </c>
      <c r="E52" s="7">
        <v>-2.56459096524003</v>
      </c>
      <c r="F52" s="14">
        <v>35109</v>
      </c>
      <c r="G52" s="8">
        <f t="shared" si="0"/>
        <v>37059</v>
      </c>
      <c r="H52" s="15">
        <v>12.6</v>
      </c>
      <c r="I52" s="15">
        <v>41.7</v>
      </c>
      <c r="J52" s="14">
        <v>15663</v>
      </c>
      <c r="K52" s="14">
        <v>12247</v>
      </c>
      <c r="L52" s="13">
        <v>17184</v>
      </c>
      <c r="M52" s="13">
        <v>16900</v>
      </c>
      <c r="N52" s="13">
        <v>31142</v>
      </c>
      <c r="O52" s="13">
        <v>36153</v>
      </c>
      <c r="P52" s="13">
        <v>1837</v>
      </c>
      <c r="Q52" s="13">
        <v>3036</v>
      </c>
      <c r="R52" s="9">
        <f t="shared" si="1"/>
        <v>106252</v>
      </c>
    </row>
    <row r="53" spans="1:18">
      <c r="A53" s="6" t="s">
        <v>72</v>
      </c>
      <c r="B53" s="16" t="s">
        <v>75</v>
      </c>
      <c r="C53" s="6" t="s">
        <v>22</v>
      </c>
      <c r="D53" s="7">
        <v>7.47199419999999</v>
      </c>
      <c r="E53" s="7">
        <v>-2.71078914019081</v>
      </c>
      <c r="F53" s="14">
        <v>16162</v>
      </c>
      <c r="G53" s="8">
        <f t="shared" si="0"/>
        <v>16585</v>
      </c>
      <c r="H53" s="15">
        <v>14.8</v>
      </c>
      <c r="I53" s="15">
        <v>41.6</v>
      </c>
      <c r="J53" s="14">
        <v>11329</v>
      </c>
      <c r="K53" s="14">
        <v>6176</v>
      </c>
      <c r="L53" s="13">
        <v>8505</v>
      </c>
      <c r="M53" s="13">
        <v>8212</v>
      </c>
      <c r="N53" s="13">
        <v>14064</v>
      </c>
      <c r="O53" s="13">
        <v>15958</v>
      </c>
      <c r="P53" s="13">
        <v>1024</v>
      </c>
      <c r="Q53" s="13">
        <v>1701</v>
      </c>
      <c r="R53" s="9">
        <f t="shared" si="1"/>
        <v>49464</v>
      </c>
    </row>
    <row r="54" spans="1:18">
      <c r="A54" s="6" t="s">
        <v>72</v>
      </c>
      <c r="B54" s="16" t="s">
        <v>76</v>
      </c>
      <c r="C54" s="6" t="s">
        <v>20</v>
      </c>
      <c r="D54" s="7">
        <v>7.23948645</v>
      </c>
      <c r="E54" s="7">
        <v>-2.85657511014467</v>
      </c>
      <c r="F54" s="14">
        <v>39452</v>
      </c>
      <c r="G54" s="8">
        <f t="shared" si="0"/>
        <v>35163</v>
      </c>
      <c r="H54" s="15">
        <v>15.8</v>
      </c>
      <c r="I54" s="15">
        <v>41.7</v>
      </c>
      <c r="J54" s="14">
        <v>24994</v>
      </c>
      <c r="K54" s="14">
        <v>19538</v>
      </c>
      <c r="L54" s="13">
        <v>19428</v>
      </c>
      <c r="M54" s="13">
        <v>18659</v>
      </c>
      <c r="N54" s="13">
        <v>33320</v>
      </c>
      <c r="O54" s="13">
        <v>35322</v>
      </c>
      <c r="P54" s="13">
        <v>2360</v>
      </c>
      <c r="Q54" s="13">
        <v>3613</v>
      </c>
      <c r="R54" s="9">
        <f t="shared" si="1"/>
        <v>112702</v>
      </c>
    </row>
    <row r="55" spans="1:18">
      <c r="A55" s="6" t="s">
        <v>72</v>
      </c>
      <c r="B55" s="16" t="s">
        <v>77</v>
      </c>
      <c r="C55" s="6" t="s">
        <v>22</v>
      </c>
      <c r="D55" s="7">
        <v>7.26432845</v>
      </c>
      <c r="E55" s="7">
        <v>-2.64146295349265</v>
      </c>
      <c r="F55" s="14">
        <v>22570</v>
      </c>
      <c r="G55" s="8">
        <f t="shared" si="0"/>
        <v>22261</v>
      </c>
      <c r="H55" s="15">
        <v>19.5</v>
      </c>
      <c r="I55" s="15">
        <v>41.7</v>
      </c>
      <c r="J55" s="14">
        <v>16759</v>
      </c>
      <c r="K55" s="14">
        <v>9261</v>
      </c>
      <c r="L55" s="13">
        <v>11782</v>
      </c>
      <c r="M55" s="13">
        <v>11286</v>
      </c>
      <c r="N55" s="13">
        <v>19943</v>
      </c>
      <c r="O55" s="13">
        <v>21068</v>
      </c>
      <c r="P55" s="13">
        <v>1611</v>
      </c>
      <c r="Q55" s="13">
        <v>2209</v>
      </c>
      <c r="R55" s="9">
        <f t="shared" si="1"/>
        <v>67899</v>
      </c>
    </row>
    <row r="56" spans="1:18">
      <c r="A56" s="6" t="s">
        <v>72</v>
      </c>
      <c r="B56" s="16" t="s">
        <v>78</v>
      </c>
      <c r="C56" s="6" t="s">
        <v>22</v>
      </c>
      <c r="D56" s="7">
        <v>6.97538415</v>
      </c>
      <c r="E56" s="7">
        <v>-2.9463116043167</v>
      </c>
      <c r="F56" s="14">
        <v>17716</v>
      </c>
      <c r="G56" s="8">
        <f t="shared" si="0"/>
        <v>12431</v>
      </c>
      <c r="H56" s="15">
        <v>23.2</v>
      </c>
      <c r="I56" s="15">
        <v>40.8</v>
      </c>
      <c r="J56" s="14">
        <v>14423</v>
      </c>
      <c r="K56" s="14">
        <v>9745</v>
      </c>
      <c r="L56" s="13">
        <v>9360</v>
      </c>
      <c r="M56" s="13">
        <v>8406</v>
      </c>
      <c r="N56" s="13">
        <v>15341</v>
      </c>
      <c r="O56" s="13">
        <v>13222</v>
      </c>
      <c r="P56" s="13">
        <v>821</v>
      </c>
      <c r="Q56" s="13">
        <v>763</v>
      </c>
      <c r="R56" s="9">
        <f t="shared" si="1"/>
        <v>47913</v>
      </c>
    </row>
    <row r="57" spans="1:18">
      <c r="A57" s="6" t="s">
        <v>72</v>
      </c>
      <c r="B57" s="16" t="s">
        <v>79</v>
      </c>
      <c r="C57" s="6" t="s">
        <v>22</v>
      </c>
      <c r="D57" s="7">
        <v>7.9132614</v>
      </c>
      <c r="E57" s="7">
        <v>-2.69723280400663</v>
      </c>
      <c r="F57" s="14">
        <v>36119</v>
      </c>
      <c r="G57" s="8">
        <f t="shared" si="0"/>
        <v>38856</v>
      </c>
      <c r="H57" s="15">
        <v>14.5</v>
      </c>
      <c r="I57" s="15">
        <v>42.4</v>
      </c>
      <c r="J57" s="14">
        <v>30773</v>
      </c>
      <c r="K57" s="14">
        <v>8231</v>
      </c>
      <c r="L57" s="13">
        <v>21157</v>
      </c>
      <c r="M57" s="13">
        <v>20397</v>
      </c>
      <c r="N57" s="13">
        <v>34679</v>
      </c>
      <c r="O57" s="13">
        <v>35066</v>
      </c>
      <c r="P57" s="13">
        <v>2077</v>
      </c>
      <c r="Q57" s="13">
        <v>3153</v>
      </c>
      <c r="R57" s="9">
        <f t="shared" si="1"/>
        <v>116529</v>
      </c>
    </row>
    <row r="58" spans="1:18">
      <c r="A58" s="6" t="s">
        <v>72</v>
      </c>
      <c r="B58" s="16" t="s">
        <v>80</v>
      </c>
      <c r="C58" s="6" t="s">
        <v>20</v>
      </c>
      <c r="D58" s="7">
        <v>7.62036559999999</v>
      </c>
      <c r="E58" s="7">
        <v>-2.7963718064665</v>
      </c>
      <c r="F58" s="14">
        <v>35814</v>
      </c>
      <c r="G58" s="8">
        <f t="shared" si="0"/>
        <v>35016</v>
      </c>
      <c r="H58" s="15">
        <v>15.6</v>
      </c>
      <c r="I58" s="15">
        <v>42.1</v>
      </c>
      <c r="J58" s="14">
        <v>28919</v>
      </c>
      <c r="K58" s="14">
        <v>9686</v>
      </c>
      <c r="L58" s="13">
        <v>19952</v>
      </c>
      <c r="M58" s="13">
        <v>18986</v>
      </c>
      <c r="N58" s="13">
        <v>31156</v>
      </c>
      <c r="O58" s="13">
        <v>34312</v>
      </c>
      <c r="P58" s="13">
        <v>2169</v>
      </c>
      <c r="Q58" s="13">
        <v>3193</v>
      </c>
      <c r="R58" s="9">
        <f t="shared" si="1"/>
        <v>109768</v>
      </c>
    </row>
    <row r="59" spans="1:18">
      <c r="A59" s="6" t="s">
        <v>72</v>
      </c>
      <c r="B59" s="16" t="s">
        <v>81</v>
      </c>
      <c r="C59" s="6" t="s">
        <v>20</v>
      </c>
      <c r="D59" s="7">
        <v>7.3384389</v>
      </c>
      <c r="E59" s="7">
        <v>-2.3309226</v>
      </c>
      <c r="F59" s="14">
        <v>64799</v>
      </c>
      <c r="G59" s="8">
        <f t="shared" si="0"/>
        <v>68142</v>
      </c>
      <c r="H59" s="15">
        <v>10.9</v>
      </c>
      <c r="I59" s="15">
        <v>41.5</v>
      </c>
      <c r="J59" s="14">
        <v>28006</v>
      </c>
      <c r="K59" s="14">
        <v>21645</v>
      </c>
      <c r="L59" s="13">
        <v>30599</v>
      </c>
      <c r="M59" s="13">
        <v>30055</v>
      </c>
      <c r="N59" s="13">
        <v>62754</v>
      </c>
      <c r="O59" s="13">
        <v>63470</v>
      </c>
      <c r="P59" s="13">
        <v>3005</v>
      </c>
      <c r="Q59" s="13">
        <v>3712</v>
      </c>
      <c r="R59" s="9">
        <f t="shared" si="1"/>
        <v>193595</v>
      </c>
    </row>
    <row r="60" spans="1:18">
      <c r="A60" s="6" t="s">
        <v>72</v>
      </c>
      <c r="B60" s="16" t="s">
        <v>82</v>
      </c>
      <c r="C60" s="6" t="s">
        <v>20</v>
      </c>
      <c r="D60" s="7">
        <v>7.35779433737633</v>
      </c>
      <c r="E60" s="7">
        <v>-2.34687996021684</v>
      </c>
      <c r="F60" s="14">
        <v>40876</v>
      </c>
      <c r="G60" s="8">
        <f t="shared" si="0"/>
        <v>51557</v>
      </c>
      <c r="H60" s="15">
        <v>17.6</v>
      </c>
      <c r="I60" s="15">
        <v>43.1</v>
      </c>
      <c r="J60" s="14">
        <v>28330</v>
      </c>
      <c r="K60" s="14">
        <v>21227</v>
      </c>
      <c r="L60" s="13">
        <v>22089</v>
      </c>
      <c r="M60" s="13">
        <v>21500</v>
      </c>
      <c r="N60" s="13">
        <v>42769</v>
      </c>
      <c r="O60" s="13">
        <v>43997</v>
      </c>
      <c r="P60" s="13">
        <v>2393</v>
      </c>
      <c r="Q60" s="13">
        <v>3274</v>
      </c>
      <c r="R60" s="9">
        <f t="shared" si="1"/>
        <v>136022</v>
      </c>
    </row>
    <row r="61" spans="1:18">
      <c r="A61" s="6" t="s">
        <v>72</v>
      </c>
      <c r="B61" s="16" t="s">
        <v>83</v>
      </c>
      <c r="C61" s="6" t="s">
        <v>22</v>
      </c>
      <c r="D61" s="7">
        <v>7.9614185</v>
      </c>
      <c r="E61" s="7">
        <v>-2.1422727</v>
      </c>
      <c r="F61" s="14">
        <v>39176</v>
      </c>
      <c r="G61" s="8">
        <f t="shared" si="0"/>
        <v>34283</v>
      </c>
      <c r="H61" s="15">
        <v>21.5</v>
      </c>
      <c r="I61" s="15">
        <v>41.9</v>
      </c>
      <c r="J61" s="14">
        <v>42235</v>
      </c>
      <c r="K61" s="14">
        <v>22022</v>
      </c>
      <c r="L61" s="13">
        <v>21764</v>
      </c>
      <c r="M61" s="13">
        <v>20345</v>
      </c>
      <c r="N61" s="13">
        <v>34230</v>
      </c>
      <c r="O61" s="13">
        <v>33737</v>
      </c>
      <c r="P61" s="13">
        <v>2388</v>
      </c>
      <c r="Q61" s="13">
        <v>3104</v>
      </c>
      <c r="R61" s="9">
        <f t="shared" si="1"/>
        <v>115568</v>
      </c>
    </row>
    <row r="62" spans="1:18">
      <c r="A62" s="6" t="s">
        <v>72</v>
      </c>
      <c r="B62" s="16" t="s">
        <v>84</v>
      </c>
      <c r="C62" s="6" t="s">
        <v>20</v>
      </c>
      <c r="D62" s="7">
        <v>7.80281055</v>
      </c>
      <c r="E62" s="7">
        <v>-2.08141333112632</v>
      </c>
      <c r="F62" s="14">
        <v>38543</v>
      </c>
      <c r="G62" s="8">
        <f t="shared" si="0"/>
        <v>39547</v>
      </c>
      <c r="H62" s="15">
        <v>23.6</v>
      </c>
      <c r="I62" s="15">
        <v>42.2</v>
      </c>
      <c r="J62" s="14">
        <v>42124</v>
      </c>
      <c r="K62" s="14">
        <v>25271</v>
      </c>
      <c r="L62" s="13">
        <v>23537</v>
      </c>
      <c r="M62" s="13">
        <v>23131</v>
      </c>
      <c r="N62" s="13">
        <v>35042</v>
      </c>
      <c r="O62" s="13">
        <v>37424</v>
      </c>
      <c r="P62" s="13">
        <v>2381</v>
      </c>
      <c r="Q62" s="13">
        <v>3243</v>
      </c>
      <c r="R62" s="9">
        <f t="shared" si="1"/>
        <v>124758</v>
      </c>
    </row>
    <row r="63" spans="1:18">
      <c r="A63" s="6" t="s">
        <v>85</v>
      </c>
      <c r="B63" s="16" t="s">
        <v>86</v>
      </c>
      <c r="C63" s="6" t="s">
        <v>20</v>
      </c>
      <c r="D63" s="7">
        <v>7.72813859999999</v>
      </c>
      <c r="E63" s="7">
        <v>-1.09550967027384</v>
      </c>
      <c r="F63" s="14">
        <v>47541</v>
      </c>
      <c r="G63" s="8">
        <f t="shared" si="0"/>
        <v>38871</v>
      </c>
      <c r="H63" s="15">
        <v>28.8</v>
      </c>
      <c r="I63" s="15">
        <v>41.5</v>
      </c>
      <c r="J63" s="14">
        <v>59415</v>
      </c>
      <c r="K63" s="14">
        <v>36951</v>
      </c>
      <c r="L63" s="13">
        <v>29821</v>
      </c>
      <c r="M63" s="13">
        <v>28714</v>
      </c>
      <c r="N63" s="13">
        <v>41262</v>
      </c>
      <c r="O63" s="13">
        <v>40752</v>
      </c>
      <c r="P63" s="13">
        <v>1910</v>
      </c>
      <c r="Q63" s="13">
        <v>2488</v>
      </c>
      <c r="R63" s="9">
        <f t="shared" si="1"/>
        <v>144947</v>
      </c>
    </row>
    <row r="64" spans="1:18">
      <c r="A64" s="6" t="s">
        <v>85</v>
      </c>
      <c r="B64" s="16" t="s">
        <v>87</v>
      </c>
      <c r="C64" s="6" t="s">
        <v>20</v>
      </c>
      <c r="D64" s="7">
        <v>8.053714</v>
      </c>
      <c r="E64" s="7">
        <v>-1.728919</v>
      </c>
      <c r="F64" s="14">
        <v>40030</v>
      </c>
      <c r="G64" s="8">
        <f t="shared" si="0"/>
        <v>45840</v>
      </c>
      <c r="H64" s="15">
        <v>28.1</v>
      </c>
      <c r="I64" s="15">
        <v>43.4</v>
      </c>
      <c r="J64" s="14">
        <v>56833</v>
      </c>
      <c r="K64" s="14">
        <v>30289</v>
      </c>
      <c r="L64" s="13">
        <v>27626</v>
      </c>
      <c r="M64" s="13">
        <v>26754</v>
      </c>
      <c r="N64" s="13">
        <v>39911</v>
      </c>
      <c r="O64" s="13">
        <v>40681</v>
      </c>
      <c r="P64" s="13">
        <v>2394</v>
      </c>
      <c r="Q64" s="13">
        <v>2884</v>
      </c>
      <c r="R64" s="9">
        <f t="shared" si="1"/>
        <v>140250</v>
      </c>
    </row>
    <row r="65" spans="1:18">
      <c r="A65" s="6" t="s">
        <v>85</v>
      </c>
      <c r="B65" s="16" t="s">
        <v>88</v>
      </c>
      <c r="C65" s="6" t="s">
        <v>22</v>
      </c>
      <c r="D65" s="7">
        <v>7.94321545</v>
      </c>
      <c r="E65" s="7">
        <v>-1.73400515142892</v>
      </c>
      <c r="F65" s="14">
        <v>28927</v>
      </c>
      <c r="G65" s="8">
        <f t="shared" si="0"/>
        <v>25110</v>
      </c>
      <c r="H65" s="15">
        <v>26</v>
      </c>
      <c r="I65" s="15">
        <v>42.3</v>
      </c>
      <c r="J65" s="14">
        <v>35811</v>
      </c>
      <c r="K65" s="14">
        <v>16394</v>
      </c>
      <c r="L65" s="13">
        <v>17639</v>
      </c>
      <c r="M65" s="13">
        <v>16708</v>
      </c>
      <c r="N65" s="13">
        <v>25454</v>
      </c>
      <c r="O65" s="13">
        <v>24559</v>
      </c>
      <c r="P65" s="13">
        <v>1961</v>
      </c>
      <c r="Q65" s="13">
        <v>2063</v>
      </c>
      <c r="R65" s="9">
        <f t="shared" si="1"/>
        <v>88384</v>
      </c>
    </row>
    <row r="66" spans="1:18">
      <c r="A66" s="6" t="s">
        <v>85</v>
      </c>
      <c r="B66" s="16" t="s">
        <v>89</v>
      </c>
      <c r="C66" s="6" t="s">
        <v>22</v>
      </c>
      <c r="D66" s="7">
        <v>7.7184776</v>
      </c>
      <c r="E66" s="7">
        <v>-1.64389618122841</v>
      </c>
      <c r="F66" s="14">
        <v>18832</v>
      </c>
      <c r="G66" s="8">
        <f t="shared" si="0"/>
        <v>16615</v>
      </c>
      <c r="H66" s="15">
        <v>25.8</v>
      </c>
      <c r="I66" s="15">
        <v>41.4</v>
      </c>
      <c r="J66" s="14">
        <v>19620</v>
      </c>
      <c r="K66" s="14">
        <v>10022</v>
      </c>
      <c r="L66" s="13">
        <v>10941</v>
      </c>
      <c r="M66" s="13">
        <v>10080</v>
      </c>
      <c r="N66" s="13">
        <v>16455</v>
      </c>
      <c r="O66" s="13">
        <v>15957</v>
      </c>
      <c r="P66" s="13">
        <v>1348</v>
      </c>
      <c r="Q66" s="13">
        <v>1687</v>
      </c>
      <c r="R66" s="9">
        <f t="shared" si="1"/>
        <v>56468</v>
      </c>
    </row>
    <row r="67" spans="1:18">
      <c r="A67" s="6" t="s">
        <v>85</v>
      </c>
      <c r="B67" s="16" t="s">
        <v>90</v>
      </c>
      <c r="C67" s="6" t="s">
        <v>20</v>
      </c>
      <c r="D67" s="7">
        <v>7.45296465</v>
      </c>
      <c r="E67" s="7">
        <v>-1.67701851419084</v>
      </c>
      <c r="F67" s="14">
        <v>38611</v>
      </c>
      <c r="G67" s="8">
        <f t="shared" ref="G67:G130" si="2">SUM(N67:Q67)-SUM(F67)</f>
        <v>33973</v>
      </c>
      <c r="H67" s="15">
        <v>18</v>
      </c>
      <c r="I67" s="15">
        <v>41.6</v>
      </c>
      <c r="J67" s="14">
        <v>34349</v>
      </c>
      <c r="K67" s="14">
        <v>16840</v>
      </c>
      <c r="L67" s="13">
        <v>21684</v>
      </c>
      <c r="M67" s="13">
        <v>20374</v>
      </c>
      <c r="N67" s="13">
        <v>33264</v>
      </c>
      <c r="O67" s="13">
        <v>34501</v>
      </c>
      <c r="P67" s="13">
        <v>2164</v>
      </c>
      <c r="Q67" s="13">
        <v>2655</v>
      </c>
      <c r="R67" s="9">
        <f t="shared" ref="R67:R130" si="3">SUM(L67:Q67)</f>
        <v>114642</v>
      </c>
    </row>
    <row r="68" spans="1:18">
      <c r="A68" s="6" t="s">
        <v>85</v>
      </c>
      <c r="B68" s="16" t="s">
        <v>91</v>
      </c>
      <c r="C68" s="6" t="s">
        <v>22</v>
      </c>
      <c r="D68" s="7">
        <v>7.9636217</v>
      </c>
      <c r="E68" s="7">
        <v>-0.9549861</v>
      </c>
      <c r="F68" s="14">
        <v>32906</v>
      </c>
      <c r="G68" s="8">
        <f t="shared" si="2"/>
        <v>27206</v>
      </c>
      <c r="H68" s="15">
        <v>30.3</v>
      </c>
      <c r="I68" s="15">
        <v>41.2</v>
      </c>
      <c r="J68" s="14">
        <v>44232</v>
      </c>
      <c r="K68" s="14">
        <v>28477</v>
      </c>
      <c r="L68" s="13">
        <v>20812</v>
      </c>
      <c r="M68" s="13">
        <v>19916</v>
      </c>
      <c r="N68" s="13">
        <v>28721</v>
      </c>
      <c r="O68" s="13">
        <v>28766</v>
      </c>
      <c r="P68" s="13">
        <v>1175</v>
      </c>
      <c r="Q68" s="13">
        <v>1450</v>
      </c>
      <c r="R68" s="9">
        <f t="shared" si="3"/>
        <v>100840</v>
      </c>
    </row>
    <row r="69" s="2" customFormat="1" spans="1:18">
      <c r="A69" s="6" t="s">
        <v>85</v>
      </c>
      <c r="B69" s="16" t="s">
        <v>92</v>
      </c>
      <c r="C69" s="6" t="s">
        <v>22</v>
      </c>
      <c r="D69" s="7">
        <v>8.03487795</v>
      </c>
      <c r="E69" s="7">
        <v>-1.31329234137589</v>
      </c>
      <c r="F69" s="14">
        <v>23430</v>
      </c>
      <c r="G69" s="8">
        <f t="shared" si="2"/>
        <v>18389</v>
      </c>
      <c r="H69" s="15">
        <v>38.3</v>
      </c>
      <c r="I69" s="15">
        <v>40.8</v>
      </c>
      <c r="J69" s="14">
        <v>33051</v>
      </c>
      <c r="K69" s="14">
        <v>28780</v>
      </c>
      <c r="L69" s="13">
        <v>14399</v>
      </c>
      <c r="M69" s="13">
        <v>13602</v>
      </c>
      <c r="N69" s="13">
        <v>20066</v>
      </c>
      <c r="O69" s="13">
        <v>19335</v>
      </c>
      <c r="P69" s="13">
        <v>1124</v>
      </c>
      <c r="Q69" s="13">
        <v>1294</v>
      </c>
      <c r="R69" s="9">
        <f t="shared" si="3"/>
        <v>69820</v>
      </c>
    </row>
    <row r="70" s="2" customFormat="1" spans="1:18">
      <c r="A70" s="6" t="s">
        <v>85</v>
      </c>
      <c r="B70" s="16" t="s">
        <v>93</v>
      </c>
      <c r="C70" s="6" t="s">
        <v>22</v>
      </c>
      <c r="D70" s="7">
        <v>7.6658435</v>
      </c>
      <c r="E70" s="7">
        <v>-0.182426172494555</v>
      </c>
      <c r="F70" s="14">
        <v>23216</v>
      </c>
      <c r="G70" s="8">
        <f t="shared" si="2"/>
        <v>17927</v>
      </c>
      <c r="H70" s="15">
        <v>49.5</v>
      </c>
      <c r="I70" s="15">
        <v>41.5</v>
      </c>
      <c r="J70" s="14">
        <v>35965</v>
      </c>
      <c r="K70" s="14">
        <v>31452</v>
      </c>
      <c r="L70" s="13">
        <v>16311</v>
      </c>
      <c r="M70" s="13">
        <v>14627</v>
      </c>
      <c r="N70" s="13">
        <v>21108</v>
      </c>
      <c r="O70" s="13">
        <v>18084</v>
      </c>
      <c r="P70" s="13">
        <v>1014</v>
      </c>
      <c r="Q70" s="13">
        <v>937</v>
      </c>
      <c r="R70" s="9">
        <f t="shared" si="3"/>
        <v>72081</v>
      </c>
    </row>
    <row r="71" spans="1:18">
      <c r="A71" s="6" t="s">
        <v>85</v>
      </c>
      <c r="B71" s="16" t="s">
        <v>94</v>
      </c>
      <c r="C71" s="6" t="s">
        <v>22</v>
      </c>
      <c r="D71" s="7">
        <v>7.74897775</v>
      </c>
      <c r="E71" s="7">
        <v>-0.618112944814146</v>
      </c>
      <c r="F71" s="14">
        <v>25949</v>
      </c>
      <c r="G71" s="8">
        <f t="shared" si="2"/>
        <v>16360</v>
      </c>
      <c r="H71" s="15">
        <v>26.8</v>
      </c>
      <c r="I71" s="15">
        <v>41</v>
      </c>
      <c r="J71" s="14">
        <v>33389</v>
      </c>
      <c r="K71" s="14">
        <v>14249</v>
      </c>
      <c r="L71" s="13">
        <v>14065</v>
      </c>
      <c r="M71" s="13">
        <v>13730</v>
      </c>
      <c r="N71" s="13">
        <v>20496</v>
      </c>
      <c r="O71" s="13">
        <v>19425</v>
      </c>
      <c r="P71" s="13">
        <v>1064</v>
      </c>
      <c r="Q71" s="13">
        <v>1324</v>
      </c>
      <c r="R71" s="9">
        <f t="shared" si="3"/>
        <v>70104</v>
      </c>
    </row>
    <row r="72" spans="1:18">
      <c r="A72" s="6" t="s">
        <v>85</v>
      </c>
      <c r="B72" s="16" t="s">
        <v>95</v>
      </c>
      <c r="C72" s="6" t="s">
        <v>20</v>
      </c>
      <c r="D72" s="7">
        <v>7.5279454</v>
      </c>
      <c r="E72" s="7">
        <v>-1.97466940505838</v>
      </c>
      <c r="F72" s="14">
        <v>89186</v>
      </c>
      <c r="G72" s="8">
        <f t="shared" si="2"/>
        <v>68047</v>
      </c>
      <c r="H72" s="15">
        <v>9.8</v>
      </c>
      <c r="I72" s="15">
        <v>41.4</v>
      </c>
      <c r="J72" s="14">
        <v>57462</v>
      </c>
      <c r="K72" s="14">
        <v>28058</v>
      </c>
      <c r="L72" s="13">
        <v>43306</v>
      </c>
      <c r="M72" s="13">
        <v>42796</v>
      </c>
      <c r="N72" s="13">
        <v>71814</v>
      </c>
      <c r="O72" s="13">
        <v>77235</v>
      </c>
      <c r="P72" s="13">
        <v>3579</v>
      </c>
      <c r="Q72" s="13">
        <v>4605</v>
      </c>
      <c r="R72" s="9">
        <f t="shared" si="3"/>
        <v>243335</v>
      </c>
    </row>
    <row r="73" spans="1:18">
      <c r="A73" s="6" t="s">
        <v>85</v>
      </c>
      <c r="B73" s="16" t="s">
        <v>96</v>
      </c>
      <c r="C73" s="6" t="s">
        <v>22</v>
      </c>
      <c r="D73" s="7">
        <v>7.70365499999999</v>
      </c>
      <c r="E73" s="7">
        <v>-1.98577027897075</v>
      </c>
      <c r="F73" s="14">
        <v>34326</v>
      </c>
      <c r="G73" s="8">
        <f t="shared" si="2"/>
        <v>31765</v>
      </c>
      <c r="H73" s="15">
        <v>15</v>
      </c>
      <c r="I73" s="15">
        <v>41.8</v>
      </c>
      <c r="J73" s="14">
        <v>27555</v>
      </c>
      <c r="K73" s="14">
        <v>15369</v>
      </c>
      <c r="L73" s="13">
        <v>18455</v>
      </c>
      <c r="M73" s="13">
        <v>17983</v>
      </c>
      <c r="N73" s="13">
        <v>30106</v>
      </c>
      <c r="O73" s="13">
        <v>31934</v>
      </c>
      <c r="P73" s="13">
        <v>1687</v>
      </c>
      <c r="Q73" s="13">
        <v>2364</v>
      </c>
      <c r="R73" s="9">
        <f t="shared" si="3"/>
        <v>102529</v>
      </c>
    </row>
    <row r="74" spans="1:18">
      <c r="A74" s="6" t="s">
        <v>97</v>
      </c>
      <c r="B74" s="16" t="s">
        <v>98</v>
      </c>
      <c r="C74" s="6" t="s">
        <v>22</v>
      </c>
      <c r="D74" s="7">
        <v>5.2698722</v>
      </c>
      <c r="E74" s="7">
        <v>-1.18890498156872</v>
      </c>
      <c r="F74" s="14">
        <v>39299</v>
      </c>
      <c r="G74" s="8">
        <f t="shared" si="2"/>
        <v>40203</v>
      </c>
      <c r="H74" s="26">
        <v>28</v>
      </c>
      <c r="I74" s="26">
        <v>44.1</v>
      </c>
      <c r="J74" s="14">
        <v>33503</v>
      </c>
      <c r="K74" s="14">
        <v>44229</v>
      </c>
      <c r="L74" s="13">
        <v>22987</v>
      </c>
      <c r="M74" s="13">
        <v>21976</v>
      </c>
      <c r="N74" s="13">
        <v>33681</v>
      </c>
      <c r="O74" s="13">
        <v>37927</v>
      </c>
      <c r="P74" s="13">
        <v>2976</v>
      </c>
      <c r="Q74" s="13">
        <v>4918</v>
      </c>
      <c r="R74" s="9">
        <f t="shared" si="3"/>
        <v>124465</v>
      </c>
    </row>
    <row r="75" s="3" customFormat="1" spans="1:18">
      <c r="A75" s="6" t="s">
        <v>97</v>
      </c>
      <c r="B75" s="16" t="s">
        <v>99</v>
      </c>
      <c r="C75" s="6" t="s">
        <v>22</v>
      </c>
      <c r="D75" s="7">
        <v>5.63553575</v>
      </c>
      <c r="E75" s="7">
        <v>-0.654757357749996</v>
      </c>
      <c r="F75" s="14">
        <v>32681</v>
      </c>
      <c r="G75" s="8">
        <f t="shared" si="2"/>
        <v>31928</v>
      </c>
      <c r="H75" s="26">
        <v>25.9</v>
      </c>
      <c r="I75" s="26">
        <v>43.6</v>
      </c>
      <c r="J75" s="14">
        <v>22438</v>
      </c>
      <c r="K75" s="14">
        <v>53181</v>
      </c>
      <c r="L75" s="13">
        <v>17280</v>
      </c>
      <c r="M75" s="13">
        <v>16748</v>
      </c>
      <c r="N75" s="13">
        <v>27957</v>
      </c>
      <c r="O75" s="13">
        <v>31096</v>
      </c>
      <c r="P75" s="13">
        <v>2242</v>
      </c>
      <c r="Q75" s="13">
        <v>3314</v>
      </c>
      <c r="R75" s="9">
        <f t="shared" si="3"/>
        <v>98637</v>
      </c>
    </row>
    <row r="76" s="3" customFormat="1" spans="1:18">
      <c r="A76" s="6" t="s">
        <v>97</v>
      </c>
      <c r="B76" s="16" t="s">
        <v>100</v>
      </c>
      <c r="C76" s="6" t="s">
        <v>20</v>
      </c>
      <c r="D76" s="7">
        <v>4.8901537</v>
      </c>
      <c r="E76" s="7">
        <v>-1.9664135</v>
      </c>
      <c r="F76" s="14">
        <v>47040</v>
      </c>
      <c r="G76" s="8">
        <f t="shared" si="2"/>
        <v>43603</v>
      </c>
      <c r="H76" s="26">
        <v>21</v>
      </c>
      <c r="I76" s="26">
        <v>43.7</v>
      </c>
      <c r="J76" s="14">
        <v>26617</v>
      </c>
      <c r="K76" s="14">
        <v>49785</v>
      </c>
      <c r="L76" s="13">
        <v>23329</v>
      </c>
      <c r="M76" s="13">
        <v>22597</v>
      </c>
      <c r="N76" s="13">
        <v>39083</v>
      </c>
      <c r="O76" s="13">
        <v>44191</v>
      </c>
      <c r="P76" s="13">
        <v>2961</v>
      </c>
      <c r="Q76" s="13">
        <v>4408</v>
      </c>
      <c r="R76" s="9">
        <f t="shared" si="3"/>
        <v>136569</v>
      </c>
    </row>
    <row r="77" spans="1:18">
      <c r="A77" s="6" t="s">
        <v>97</v>
      </c>
      <c r="B77" s="16" t="s">
        <v>101</v>
      </c>
      <c r="C77" s="6" t="s">
        <v>22</v>
      </c>
      <c r="D77" s="7">
        <v>5.41243515</v>
      </c>
      <c r="E77" s="7">
        <v>-0.984801059019988</v>
      </c>
      <c r="F77" s="14">
        <v>38466</v>
      </c>
      <c r="G77" s="8">
        <f t="shared" si="2"/>
        <v>38589</v>
      </c>
      <c r="H77" s="26">
        <v>29.6</v>
      </c>
      <c r="I77" s="26">
        <v>43.5</v>
      </c>
      <c r="J77" s="14">
        <v>29157</v>
      </c>
      <c r="K77" s="14">
        <v>49126</v>
      </c>
      <c r="L77" s="13">
        <v>22490</v>
      </c>
      <c r="M77" s="13">
        <v>21041</v>
      </c>
      <c r="N77" s="13">
        <v>31659</v>
      </c>
      <c r="O77" s="13">
        <v>36846</v>
      </c>
      <c r="P77" s="13">
        <v>3112</v>
      </c>
      <c r="Q77" s="13">
        <v>5438</v>
      </c>
      <c r="R77" s="9">
        <f t="shared" si="3"/>
        <v>120586</v>
      </c>
    </row>
    <row r="78" spans="1:18">
      <c r="A78" s="6" t="s">
        <v>97</v>
      </c>
      <c r="B78" s="16" t="s">
        <v>102</v>
      </c>
      <c r="C78" s="6" t="s">
        <v>22</v>
      </c>
      <c r="D78" s="7">
        <v>5.62649825</v>
      </c>
      <c r="E78" s="7">
        <v>-1.02551876426311</v>
      </c>
      <c r="F78" s="14">
        <v>43495</v>
      </c>
      <c r="G78" s="8">
        <f t="shared" si="2"/>
        <v>36507</v>
      </c>
      <c r="H78" s="26">
        <v>29</v>
      </c>
      <c r="I78" s="26">
        <v>42.3</v>
      </c>
      <c r="J78" s="14">
        <v>32209</v>
      </c>
      <c r="K78" s="14">
        <v>46532</v>
      </c>
      <c r="L78" s="13">
        <v>24263</v>
      </c>
      <c r="M78" s="13">
        <v>22728</v>
      </c>
      <c r="N78" s="13">
        <v>34621</v>
      </c>
      <c r="O78" s="13">
        <v>38201</v>
      </c>
      <c r="P78" s="13">
        <v>2939</v>
      </c>
      <c r="Q78" s="13">
        <v>4241</v>
      </c>
      <c r="R78" s="9">
        <f t="shared" si="3"/>
        <v>126993</v>
      </c>
    </row>
    <row r="79" spans="1:18">
      <c r="A79" s="6" t="s">
        <v>97</v>
      </c>
      <c r="B79" s="16" t="s">
        <v>103</v>
      </c>
      <c r="C79" s="6" t="s">
        <v>20</v>
      </c>
      <c r="D79" s="7">
        <v>5.73294244999999</v>
      </c>
      <c r="E79" s="7">
        <v>-1.31730368183195</v>
      </c>
      <c r="F79" s="14">
        <v>31134</v>
      </c>
      <c r="G79" s="8">
        <f t="shared" si="2"/>
        <v>25993</v>
      </c>
      <c r="H79" s="26">
        <v>18.1</v>
      </c>
      <c r="I79" s="26">
        <v>42.8</v>
      </c>
      <c r="J79" s="14">
        <v>12994</v>
      </c>
      <c r="K79" s="14">
        <v>30642</v>
      </c>
      <c r="L79" s="13">
        <v>15976</v>
      </c>
      <c r="M79" s="13">
        <v>15650</v>
      </c>
      <c r="N79" s="13">
        <v>26152</v>
      </c>
      <c r="O79" s="13">
        <v>27674</v>
      </c>
      <c r="P79" s="13">
        <v>1421</v>
      </c>
      <c r="Q79" s="13">
        <v>1880</v>
      </c>
      <c r="R79" s="9">
        <f t="shared" si="3"/>
        <v>88753</v>
      </c>
    </row>
    <row r="80" spans="1:18">
      <c r="A80" s="6" t="s">
        <v>97</v>
      </c>
      <c r="B80" s="16" t="s">
        <v>104</v>
      </c>
      <c r="C80" s="6" t="s">
        <v>22</v>
      </c>
      <c r="D80" s="7">
        <v>5.82545685</v>
      </c>
      <c r="E80" s="7">
        <v>-1.37392719579152</v>
      </c>
      <c r="F80" s="14">
        <v>29624</v>
      </c>
      <c r="G80" s="8">
        <f t="shared" si="2"/>
        <v>21458</v>
      </c>
      <c r="H80" s="26">
        <v>31.9</v>
      </c>
      <c r="I80" s="26">
        <v>42</v>
      </c>
      <c r="J80" s="14">
        <v>22155</v>
      </c>
      <c r="K80" s="14">
        <v>38011</v>
      </c>
      <c r="L80" s="13">
        <v>15174</v>
      </c>
      <c r="M80" s="13">
        <v>14283</v>
      </c>
      <c r="N80" s="13">
        <v>23465</v>
      </c>
      <c r="O80" s="13">
        <v>23635</v>
      </c>
      <c r="P80" s="13">
        <v>1830</v>
      </c>
      <c r="Q80" s="13">
        <v>2152</v>
      </c>
      <c r="R80" s="9">
        <f t="shared" si="3"/>
        <v>80539</v>
      </c>
    </row>
    <row r="81" spans="1:18">
      <c r="A81" s="6" t="s">
        <v>97</v>
      </c>
      <c r="B81" s="16" t="s">
        <v>105</v>
      </c>
      <c r="C81" s="6" t="s">
        <v>22</v>
      </c>
      <c r="D81" s="7">
        <v>5.52889644999999</v>
      </c>
      <c r="E81" s="7">
        <v>-1.2709401638536</v>
      </c>
      <c r="F81" s="14">
        <v>35793</v>
      </c>
      <c r="G81" s="8">
        <f t="shared" si="2"/>
        <v>29955</v>
      </c>
      <c r="H81" s="26">
        <v>27.4</v>
      </c>
      <c r="I81" s="26">
        <v>41.7</v>
      </c>
      <c r="J81" s="14">
        <v>27205</v>
      </c>
      <c r="K81" s="14">
        <v>38472</v>
      </c>
      <c r="L81" s="13">
        <v>20688</v>
      </c>
      <c r="M81" s="13">
        <v>19559</v>
      </c>
      <c r="N81" s="13">
        <v>29056</v>
      </c>
      <c r="O81" s="13">
        <v>31148</v>
      </c>
      <c r="P81" s="13">
        <v>2339</v>
      </c>
      <c r="Q81" s="13">
        <v>3205</v>
      </c>
      <c r="R81" s="9">
        <f t="shared" si="3"/>
        <v>105995</v>
      </c>
    </row>
    <row r="82" spans="1:18">
      <c r="A82" s="6" t="s">
        <v>97</v>
      </c>
      <c r="B82" s="16" t="s">
        <v>106</v>
      </c>
      <c r="C82" s="6" t="s">
        <v>22</v>
      </c>
      <c r="D82" s="7">
        <v>5.61965885</v>
      </c>
      <c r="E82" s="7">
        <v>-0.520145612112832</v>
      </c>
      <c r="F82" s="14">
        <v>54977</v>
      </c>
      <c r="G82" s="8">
        <f t="shared" si="2"/>
        <v>45374</v>
      </c>
      <c r="H82" s="26">
        <v>22.5</v>
      </c>
      <c r="I82" s="26">
        <v>44.5</v>
      </c>
      <c r="J82" s="14">
        <v>40850</v>
      </c>
      <c r="K82" s="14">
        <v>92561</v>
      </c>
      <c r="L82" s="13">
        <v>30859</v>
      </c>
      <c r="M82" s="13">
        <v>30250</v>
      </c>
      <c r="N82" s="13">
        <v>45045</v>
      </c>
      <c r="O82" s="13">
        <v>49125</v>
      </c>
      <c r="P82" s="13">
        <v>2315</v>
      </c>
      <c r="Q82" s="13">
        <v>3866</v>
      </c>
      <c r="R82" s="9">
        <f t="shared" si="3"/>
        <v>161460</v>
      </c>
    </row>
    <row r="83" spans="1:18">
      <c r="A83" s="6" t="s">
        <v>97</v>
      </c>
      <c r="B83" s="16" t="s">
        <v>107</v>
      </c>
      <c r="C83" s="6" t="s">
        <v>20</v>
      </c>
      <c r="D83" s="7">
        <v>5.40379055</v>
      </c>
      <c r="E83" s="7">
        <v>-0.518157686947431</v>
      </c>
      <c r="F83" s="14">
        <v>84690</v>
      </c>
      <c r="G83" s="8">
        <f t="shared" si="2"/>
        <v>72118</v>
      </c>
      <c r="H83" s="26">
        <v>10.6</v>
      </c>
      <c r="I83" s="26">
        <v>42.9</v>
      </c>
      <c r="J83" s="14">
        <v>24484</v>
      </c>
      <c r="K83" s="14">
        <v>99262</v>
      </c>
      <c r="L83" s="13">
        <v>39763</v>
      </c>
      <c r="M83" s="13">
        <v>39956</v>
      </c>
      <c r="N83" s="13">
        <v>72810</v>
      </c>
      <c r="O83" s="13">
        <v>77543</v>
      </c>
      <c r="P83" s="13">
        <v>2957</v>
      </c>
      <c r="Q83" s="13">
        <v>3498</v>
      </c>
      <c r="R83" s="9">
        <f t="shared" si="3"/>
        <v>236527</v>
      </c>
    </row>
    <row r="84" s="4" customFormat="1" spans="1:18">
      <c r="A84" s="27" t="s">
        <v>97</v>
      </c>
      <c r="B84" s="28" t="s">
        <v>108</v>
      </c>
      <c r="C84" s="27" t="s">
        <v>56</v>
      </c>
      <c r="D84" s="29">
        <v>5.1115501</v>
      </c>
      <c r="E84" s="29">
        <v>-1.2484127</v>
      </c>
      <c r="F84" s="30">
        <v>67570</v>
      </c>
      <c r="G84" s="31">
        <f t="shared" si="2"/>
        <v>65035</v>
      </c>
      <c r="H84" s="31">
        <v>12.9</v>
      </c>
      <c r="I84" s="31">
        <v>44.3</v>
      </c>
      <c r="J84" s="30">
        <v>20509</v>
      </c>
      <c r="K84" s="30">
        <v>51556</v>
      </c>
      <c r="L84" s="32">
        <v>27622</v>
      </c>
      <c r="M84" s="32">
        <v>27138</v>
      </c>
      <c r="N84" s="32">
        <v>61645</v>
      </c>
      <c r="O84" s="32">
        <v>64688</v>
      </c>
      <c r="P84" s="32">
        <v>3523</v>
      </c>
      <c r="Q84" s="32">
        <v>2749</v>
      </c>
      <c r="R84" s="33">
        <f t="shared" si="3"/>
        <v>187365</v>
      </c>
    </row>
    <row r="85" spans="1:18">
      <c r="A85" s="6" t="s">
        <v>97</v>
      </c>
      <c r="B85" s="16" t="s">
        <v>109</v>
      </c>
      <c r="C85" s="6" t="s">
        <v>20</v>
      </c>
      <c r="D85" s="7">
        <v>5.38339225</v>
      </c>
      <c r="E85" s="7">
        <v>-0.597395635326539</v>
      </c>
      <c r="F85" s="14">
        <v>27520</v>
      </c>
      <c r="G85" s="8">
        <f t="shared" si="2"/>
        <v>52842</v>
      </c>
      <c r="H85" s="26">
        <v>21.7</v>
      </c>
      <c r="I85" s="26">
        <v>44.2</v>
      </c>
      <c r="J85" s="14">
        <v>20228</v>
      </c>
      <c r="K85" s="14">
        <v>32581</v>
      </c>
      <c r="L85" s="13">
        <v>14186</v>
      </c>
      <c r="M85" s="13">
        <v>14268</v>
      </c>
      <c r="N85" s="13">
        <v>39432</v>
      </c>
      <c r="O85" s="13">
        <v>36492</v>
      </c>
      <c r="P85" s="13">
        <v>1613</v>
      </c>
      <c r="Q85" s="13">
        <v>2825</v>
      </c>
      <c r="R85" s="9">
        <f t="shared" si="3"/>
        <v>108816</v>
      </c>
    </row>
    <row r="86" spans="1:18">
      <c r="A86" s="6" t="s">
        <v>97</v>
      </c>
      <c r="B86" s="16" t="s">
        <v>110</v>
      </c>
      <c r="C86" s="6" t="s">
        <v>22</v>
      </c>
      <c r="D86" s="7">
        <v>5.28914455</v>
      </c>
      <c r="E86" s="7">
        <v>-0.908864632637807</v>
      </c>
      <c r="F86" s="14">
        <v>17067</v>
      </c>
      <c r="G86" s="8">
        <f t="shared" si="2"/>
        <v>18338</v>
      </c>
      <c r="H86" s="26">
        <v>31.5</v>
      </c>
      <c r="I86" s="26">
        <v>45.6</v>
      </c>
      <c r="J86" s="14">
        <v>18491</v>
      </c>
      <c r="K86" s="14">
        <v>33670</v>
      </c>
      <c r="L86" s="13">
        <v>10736</v>
      </c>
      <c r="M86" s="13">
        <v>10600</v>
      </c>
      <c r="N86" s="13">
        <v>14073</v>
      </c>
      <c r="O86" s="13">
        <v>16944</v>
      </c>
      <c r="P86" s="13">
        <v>1575</v>
      </c>
      <c r="Q86" s="13">
        <v>2813</v>
      </c>
      <c r="R86" s="9">
        <f t="shared" si="3"/>
        <v>56741</v>
      </c>
    </row>
    <row r="87" spans="1:18">
      <c r="A87" s="6" t="s">
        <v>97</v>
      </c>
      <c r="B87" s="16" t="s">
        <v>111</v>
      </c>
      <c r="C87" s="6" t="s">
        <v>22</v>
      </c>
      <c r="D87" s="7">
        <v>5.47699369999999</v>
      </c>
      <c r="E87" s="7">
        <v>-0.589745989100534</v>
      </c>
      <c r="F87" s="14">
        <v>28310</v>
      </c>
      <c r="G87" s="8">
        <f t="shared" si="2"/>
        <v>24080</v>
      </c>
      <c r="H87" s="26">
        <v>18.8</v>
      </c>
      <c r="I87" s="26">
        <v>44.1</v>
      </c>
      <c r="J87" s="14">
        <v>17534</v>
      </c>
      <c r="K87" s="14">
        <v>37766</v>
      </c>
      <c r="L87" s="13">
        <v>15233</v>
      </c>
      <c r="M87" s="13">
        <v>14969</v>
      </c>
      <c r="N87" s="13">
        <v>21856</v>
      </c>
      <c r="O87" s="13">
        <v>26134</v>
      </c>
      <c r="P87" s="13">
        <v>1504</v>
      </c>
      <c r="Q87" s="13">
        <v>2896</v>
      </c>
      <c r="R87" s="9">
        <f t="shared" si="3"/>
        <v>82592</v>
      </c>
    </row>
    <row r="88" spans="1:18">
      <c r="A88" s="6" t="s">
        <v>97</v>
      </c>
      <c r="B88" s="16" t="s">
        <v>112</v>
      </c>
      <c r="C88" s="6" t="s">
        <v>22</v>
      </c>
      <c r="D88" s="7">
        <v>5.47699369999999</v>
      </c>
      <c r="E88" s="7">
        <v>-0.589745989100534</v>
      </c>
      <c r="F88" s="14">
        <v>101923</v>
      </c>
      <c r="G88" s="8">
        <f t="shared" si="2"/>
        <v>95607</v>
      </c>
      <c r="H88" s="26">
        <v>14.4</v>
      </c>
      <c r="I88" s="26">
        <v>43.7</v>
      </c>
      <c r="J88" s="14">
        <v>43210</v>
      </c>
      <c r="K88" s="14">
        <v>137369</v>
      </c>
      <c r="L88" s="13">
        <v>55840</v>
      </c>
      <c r="M88" s="13">
        <v>55327</v>
      </c>
      <c r="N88" s="13">
        <v>93198</v>
      </c>
      <c r="O88" s="13">
        <v>96950</v>
      </c>
      <c r="P88" s="13">
        <v>3200</v>
      </c>
      <c r="Q88" s="13">
        <v>4182</v>
      </c>
      <c r="R88" s="9">
        <f t="shared" si="3"/>
        <v>308697</v>
      </c>
    </row>
    <row r="89" spans="1:18">
      <c r="A89" s="6" t="s">
        <v>97</v>
      </c>
      <c r="B89" s="16" t="s">
        <v>113</v>
      </c>
      <c r="C89" s="6" t="s">
        <v>22</v>
      </c>
      <c r="D89" s="7">
        <v>5.38725545</v>
      </c>
      <c r="E89" s="7">
        <v>-0.833638570821268</v>
      </c>
      <c r="F89" s="14">
        <v>41686</v>
      </c>
      <c r="G89" s="8">
        <f t="shared" si="2"/>
        <v>40125</v>
      </c>
      <c r="H89" s="26">
        <v>28.3</v>
      </c>
      <c r="I89" s="26">
        <v>44.4</v>
      </c>
      <c r="J89" s="14">
        <v>39425</v>
      </c>
      <c r="K89" s="14">
        <v>65362</v>
      </c>
      <c r="L89" s="13">
        <v>24256</v>
      </c>
      <c r="M89" s="13">
        <v>23445</v>
      </c>
      <c r="N89" s="13">
        <v>32103</v>
      </c>
      <c r="O89" s="13">
        <v>40607</v>
      </c>
      <c r="P89" s="13">
        <v>3061</v>
      </c>
      <c r="Q89" s="13">
        <v>6040</v>
      </c>
      <c r="R89" s="9">
        <f t="shared" si="3"/>
        <v>129512</v>
      </c>
    </row>
    <row r="90" spans="1:18">
      <c r="A90" s="6" t="s">
        <v>97</v>
      </c>
      <c r="B90" s="16" t="s">
        <v>114</v>
      </c>
      <c r="C90" s="6" t="s">
        <v>20</v>
      </c>
      <c r="D90" s="7">
        <v>5.1302015</v>
      </c>
      <c r="E90" s="7">
        <v>-1.43995928979516</v>
      </c>
      <c r="F90" s="14">
        <v>53152</v>
      </c>
      <c r="G90" s="8">
        <f t="shared" si="2"/>
        <v>53030</v>
      </c>
      <c r="H90" s="26">
        <v>25.1</v>
      </c>
      <c r="I90" s="26">
        <v>44.2</v>
      </c>
      <c r="J90" s="14">
        <v>43258</v>
      </c>
      <c r="K90" s="14">
        <v>75202</v>
      </c>
      <c r="L90" s="13">
        <v>30377</v>
      </c>
      <c r="M90" s="13">
        <v>29458</v>
      </c>
      <c r="N90" s="13">
        <v>46636</v>
      </c>
      <c r="O90" s="13">
        <v>50105</v>
      </c>
      <c r="P90" s="13">
        <v>3557</v>
      </c>
      <c r="Q90" s="13">
        <v>5884</v>
      </c>
      <c r="R90" s="9">
        <f t="shared" si="3"/>
        <v>166017</v>
      </c>
    </row>
    <row r="91" spans="1:18">
      <c r="A91" s="6" t="s">
        <v>97</v>
      </c>
      <c r="B91" s="16" t="s">
        <v>115</v>
      </c>
      <c r="C91" s="6" t="s">
        <v>20</v>
      </c>
      <c r="D91" s="7">
        <v>5.27644145</v>
      </c>
      <c r="E91" s="7">
        <v>-1.03472089878279</v>
      </c>
      <c r="F91" s="14">
        <v>53153</v>
      </c>
      <c r="G91" s="8">
        <f t="shared" si="2"/>
        <v>55811</v>
      </c>
      <c r="H91" s="26">
        <v>24</v>
      </c>
      <c r="I91" s="26">
        <v>44.8</v>
      </c>
      <c r="J91" s="14">
        <v>39497</v>
      </c>
      <c r="K91" s="14">
        <v>67043</v>
      </c>
      <c r="L91" s="13">
        <v>30395</v>
      </c>
      <c r="M91" s="13">
        <v>29546</v>
      </c>
      <c r="N91" s="13">
        <v>44225</v>
      </c>
      <c r="O91" s="13">
        <v>55585</v>
      </c>
      <c r="P91" s="13">
        <v>3413</v>
      </c>
      <c r="Q91" s="13">
        <v>5741</v>
      </c>
      <c r="R91" s="9">
        <f t="shared" si="3"/>
        <v>168905</v>
      </c>
    </row>
    <row r="92" spans="1:18">
      <c r="A92" s="6" t="s">
        <v>97</v>
      </c>
      <c r="B92" s="16" t="s">
        <v>116</v>
      </c>
      <c r="C92" s="6" t="s">
        <v>22</v>
      </c>
      <c r="D92" s="7">
        <v>5.61529845</v>
      </c>
      <c r="E92" s="7">
        <v>-1.57822136908747</v>
      </c>
      <c r="F92" s="14">
        <v>31704</v>
      </c>
      <c r="G92" s="8">
        <f t="shared" si="2"/>
        <v>30813</v>
      </c>
      <c r="H92" s="26">
        <v>34.1</v>
      </c>
      <c r="I92" s="26">
        <v>42.7</v>
      </c>
      <c r="J92" s="14">
        <v>27448</v>
      </c>
      <c r="K92" s="14">
        <v>44389</v>
      </c>
      <c r="L92" s="13">
        <v>19741</v>
      </c>
      <c r="M92" s="13">
        <v>18593</v>
      </c>
      <c r="N92" s="13">
        <v>28331</v>
      </c>
      <c r="O92" s="13">
        <v>30151</v>
      </c>
      <c r="P92" s="13">
        <v>1926</v>
      </c>
      <c r="Q92" s="13">
        <v>2109</v>
      </c>
      <c r="R92" s="9">
        <f t="shared" si="3"/>
        <v>100851</v>
      </c>
    </row>
    <row r="93" spans="1:18">
      <c r="A93" s="6" t="s">
        <v>97</v>
      </c>
      <c r="B93" s="16" t="s">
        <v>117</v>
      </c>
      <c r="C93" s="6" t="s">
        <v>22</v>
      </c>
      <c r="D93" s="7">
        <v>5.49471475</v>
      </c>
      <c r="E93" s="7">
        <v>-1.53636464977824</v>
      </c>
      <c r="F93" s="14">
        <v>22649</v>
      </c>
      <c r="G93" s="8">
        <f t="shared" si="2"/>
        <v>19075</v>
      </c>
      <c r="H93" s="26">
        <v>32.1</v>
      </c>
      <c r="I93" s="26">
        <v>42.4</v>
      </c>
      <c r="J93" s="14">
        <v>17101</v>
      </c>
      <c r="K93" s="14">
        <v>36601</v>
      </c>
      <c r="L93" s="13">
        <v>12495</v>
      </c>
      <c r="M93" s="13">
        <v>11856</v>
      </c>
      <c r="N93" s="13">
        <v>19039</v>
      </c>
      <c r="O93" s="13">
        <v>19664</v>
      </c>
      <c r="P93" s="13">
        <v>1349</v>
      </c>
      <c r="Q93" s="13">
        <v>1672</v>
      </c>
      <c r="R93" s="9">
        <f t="shared" si="3"/>
        <v>66075</v>
      </c>
    </row>
    <row r="94" spans="1:18">
      <c r="A94" s="6" t="s">
        <v>97</v>
      </c>
      <c r="B94" s="16" t="s">
        <v>118</v>
      </c>
      <c r="C94" s="6" t="s">
        <v>20</v>
      </c>
      <c r="D94" s="7">
        <v>5.83523424999999</v>
      </c>
      <c r="E94" s="7">
        <v>-1.73920835777296</v>
      </c>
      <c r="F94" s="14">
        <v>34729</v>
      </c>
      <c r="G94" s="8">
        <f t="shared" si="2"/>
        <v>35865</v>
      </c>
      <c r="H94" s="26">
        <v>24.3</v>
      </c>
      <c r="I94" s="26">
        <v>43.8</v>
      </c>
      <c r="J94" s="14">
        <v>23359</v>
      </c>
      <c r="K94" s="14">
        <v>30732</v>
      </c>
      <c r="L94" s="13">
        <v>20144</v>
      </c>
      <c r="M94" s="13">
        <v>19403</v>
      </c>
      <c r="N94" s="13">
        <v>33371</v>
      </c>
      <c r="O94" s="13">
        <v>33259</v>
      </c>
      <c r="P94" s="13">
        <v>1765</v>
      </c>
      <c r="Q94" s="13">
        <v>2199</v>
      </c>
      <c r="R94" s="9">
        <f t="shared" si="3"/>
        <v>110141</v>
      </c>
    </row>
    <row r="95" spans="1:18">
      <c r="A95" s="6" t="s">
        <v>97</v>
      </c>
      <c r="B95" s="16" t="s">
        <v>119</v>
      </c>
      <c r="C95" s="6" t="s">
        <v>22</v>
      </c>
      <c r="D95" s="7">
        <v>6.10783305</v>
      </c>
      <c r="E95" s="7">
        <v>-2.06931071266353</v>
      </c>
      <c r="F95" s="14">
        <v>33332</v>
      </c>
      <c r="G95" s="8">
        <f t="shared" si="2"/>
        <v>25814</v>
      </c>
      <c r="H95" s="26">
        <v>24.5</v>
      </c>
      <c r="I95" s="26">
        <v>43.6</v>
      </c>
      <c r="J95" s="14">
        <v>25637</v>
      </c>
      <c r="K95" s="14">
        <v>44004</v>
      </c>
      <c r="L95" s="13">
        <v>16093</v>
      </c>
      <c r="M95" s="13">
        <v>15786</v>
      </c>
      <c r="N95" s="13">
        <v>30896</v>
      </c>
      <c r="O95" s="13">
        <v>25738</v>
      </c>
      <c r="P95" s="13">
        <v>1148</v>
      </c>
      <c r="Q95" s="13">
        <v>1364</v>
      </c>
      <c r="R95" s="9">
        <f t="shared" si="3"/>
        <v>91025</v>
      </c>
    </row>
    <row r="96" spans="1:18">
      <c r="A96" s="6" t="s">
        <v>120</v>
      </c>
      <c r="B96" s="16" t="s">
        <v>121</v>
      </c>
      <c r="C96" s="6" t="s">
        <v>20</v>
      </c>
      <c r="D96" s="7">
        <v>6.2336986</v>
      </c>
      <c r="E96" s="7">
        <v>-0.382588987736012</v>
      </c>
      <c r="F96" s="14">
        <v>25086</v>
      </c>
      <c r="G96" s="8">
        <f t="shared" si="2"/>
        <v>26833</v>
      </c>
      <c r="H96" s="15">
        <v>15.7</v>
      </c>
      <c r="I96" s="15">
        <v>42.9</v>
      </c>
      <c r="J96" s="14">
        <v>11029</v>
      </c>
      <c r="K96" s="14">
        <v>15507</v>
      </c>
      <c r="L96" s="13">
        <v>12352</v>
      </c>
      <c r="M96" s="13">
        <v>11924</v>
      </c>
      <c r="N96" s="13">
        <v>22357</v>
      </c>
      <c r="O96" s="13">
        <v>24610</v>
      </c>
      <c r="P96" s="13">
        <v>2063</v>
      </c>
      <c r="Q96" s="13">
        <v>2889</v>
      </c>
      <c r="R96" s="9">
        <f t="shared" si="3"/>
        <v>76195</v>
      </c>
    </row>
    <row r="97" spans="1:18">
      <c r="A97" s="6" t="s">
        <v>120</v>
      </c>
      <c r="B97" s="16" t="s">
        <v>122</v>
      </c>
      <c r="C97" s="6" t="s">
        <v>20</v>
      </c>
      <c r="D97" s="7">
        <v>6.1727705</v>
      </c>
      <c r="E97" s="7">
        <v>-0.470361048613095</v>
      </c>
      <c r="F97" s="14">
        <v>29553</v>
      </c>
      <c r="G97" s="8">
        <f t="shared" si="2"/>
        <v>31123</v>
      </c>
      <c r="H97" s="15">
        <v>21.1</v>
      </c>
      <c r="I97" s="15">
        <v>43.4</v>
      </c>
      <c r="J97" s="14">
        <v>17315</v>
      </c>
      <c r="K97" s="14">
        <v>19569</v>
      </c>
      <c r="L97" s="13">
        <v>14490</v>
      </c>
      <c r="M97" s="13">
        <v>13885</v>
      </c>
      <c r="N97" s="13">
        <v>27170</v>
      </c>
      <c r="O97" s="13">
        <v>27633</v>
      </c>
      <c r="P97" s="13">
        <v>2484</v>
      </c>
      <c r="Q97" s="13">
        <v>3389</v>
      </c>
      <c r="R97" s="9">
        <f t="shared" si="3"/>
        <v>89051</v>
      </c>
    </row>
    <row r="98" spans="1:18">
      <c r="A98" s="6" t="s">
        <v>120</v>
      </c>
      <c r="B98" s="16" t="s">
        <v>123</v>
      </c>
      <c r="C98" s="6" t="s">
        <v>22</v>
      </c>
      <c r="D98" s="7">
        <v>5.8354534</v>
      </c>
      <c r="E98" s="7">
        <v>-0.9966928</v>
      </c>
      <c r="F98" s="14">
        <v>17382</v>
      </c>
      <c r="G98" s="8">
        <f t="shared" si="2"/>
        <v>18733</v>
      </c>
      <c r="H98" s="15">
        <v>29.9</v>
      </c>
      <c r="I98" s="15">
        <v>44.6</v>
      </c>
      <c r="J98" s="14">
        <v>14484</v>
      </c>
      <c r="K98" s="14">
        <v>17894</v>
      </c>
      <c r="L98" s="13">
        <v>10513</v>
      </c>
      <c r="M98" s="13">
        <v>9720</v>
      </c>
      <c r="N98" s="13">
        <v>15422</v>
      </c>
      <c r="O98" s="13">
        <v>17107</v>
      </c>
      <c r="P98" s="13">
        <v>1477</v>
      </c>
      <c r="Q98" s="13">
        <v>2109</v>
      </c>
      <c r="R98" s="9">
        <f t="shared" si="3"/>
        <v>56348</v>
      </c>
    </row>
    <row r="99" spans="1:18">
      <c r="A99" s="6" t="s">
        <v>120</v>
      </c>
      <c r="B99" s="16" t="s">
        <v>124</v>
      </c>
      <c r="C99" s="6" t="s">
        <v>20</v>
      </c>
      <c r="D99" s="7">
        <v>5.9014961</v>
      </c>
      <c r="E99" s="7">
        <v>-0.14597334325382</v>
      </c>
      <c r="F99" s="14">
        <v>30652</v>
      </c>
      <c r="G99" s="8">
        <f t="shared" si="2"/>
        <v>42982</v>
      </c>
      <c r="H99" s="15">
        <v>20.1</v>
      </c>
      <c r="I99" s="15">
        <v>43.2</v>
      </c>
      <c r="J99" s="14">
        <v>15299</v>
      </c>
      <c r="K99" s="14">
        <v>22608</v>
      </c>
      <c r="L99" s="13">
        <v>16126</v>
      </c>
      <c r="M99" s="13">
        <v>15555</v>
      </c>
      <c r="N99" s="13">
        <v>30768</v>
      </c>
      <c r="O99" s="13">
        <v>35625</v>
      </c>
      <c r="P99" s="13">
        <v>2652</v>
      </c>
      <c r="Q99" s="13">
        <v>4589</v>
      </c>
      <c r="R99" s="9">
        <f t="shared" si="3"/>
        <v>105315</v>
      </c>
    </row>
    <row r="100" spans="1:18">
      <c r="A100" s="6" t="s">
        <v>120</v>
      </c>
      <c r="B100" s="16" t="s">
        <v>125</v>
      </c>
      <c r="C100" s="6" t="s">
        <v>20</v>
      </c>
      <c r="D100" s="7">
        <v>8.25846</v>
      </c>
      <c r="E100" s="7">
        <v>0.508747</v>
      </c>
      <c r="F100" s="14">
        <v>25689</v>
      </c>
      <c r="G100" s="8">
        <f t="shared" si="2"/>
        <v>27716</v>
      </c>
      <c r="H100" s="15">
        <v>19.4</v>
      </c>
      <c r="I100" s="15">
        <v>43.5</v>
      </c>
      <c r="J100" s="14">
        <v>11667</v>
      </c>
      <c r="K100" s="14">
        <v>23583</v>
      </c>
      <c r="L100" s="13">
        <v>11963</v>
      </c>
      <c r="M100" s="13">
        <v>11554</v>
      </c>
      <c r="N100" s="13">
        <v>23466</v>
      </c>
      <c r="O100" s="13">
        <v>26024</v>
      </c>
      <c r="P100" s="13">
        <v>1672</v>
      </c>
      <c r="Q100" s="13">
        <v>2243</v>
      </c>
      <c r="R100" s="9">
        <f t="shared" si="3"/>
        <v>76922</v>
      </c>
    </row>
    <row r="101" spans="1:18">
      <c r="A101" s="6" t="s">
        <v>120</v>
      </c>
      <c r="B101" s="16" t="s">
        <v>126</v>
      </c>
      <c r="C101" s="6" t="s">
        <v>22</v>
      </c>
      <c r="D101" s="7">
        <v>6.0815994</v>
      </c>
      <c r="E101" s="7">
        <v>-1.11546439579942</v>
      </c>
      <c r="F101" s="14">
        <v>32660</v>
      </c>
      <c r="G101" s="8">
        <f t="shared" si="2"/>
        <v>25244</v>
      </c>
      <c r="H101" s="15">
        <v>23.6</v>
      </c>
      <c r="I101" s="15">
        <v>42.4</v>
      </c>
      <c r="J101" s="14">
        <v>25196</v>
      </c>
      <c r="K101" s="14">
        <v>24107</v>
      </c>
      <c r="L101" s="13">
        <v>17060</v>
      </c>
      <c r="M101" s="13">
        <v>16074</v>
      </c>
      <c r="N101" s="13">
        <v>25881</v>
      </c>
      <c r="O101" s="13">
        <v>26687</v>
      </c>
      <c r="P101" s="13">
        <v>2325</v>
      </c>
      <c r="Q101" s="13">
        <v>3011</v>
      </c>
      <c r="R101" s="9">
        <f t="shared" si="3"/>
        <v>91038</v>
      </c>
    </row>
    <row r="102" spans="1:18">
      <c r="A102" s="6" t="s">
        <v>120</v>
      </c>
      <c r="B102" s="16" t="s">
        <v>127</v>
      </c>
      <c r="C102" s="6" t="s">
        <v>22</v>
      </c>
      <c r="D102" s="7">
        <v>5.85516295</v>
      </c>
      <c r="E102" s="7">
        <v>-0.8089562448565</v>
      </c>
      <c r="F102" s="14">
        <v>26201</v>
      </c>
      <c r="G102" s="8">
        <f t="shared" si="2"/>
        <v>23526</v>
      </c>
      <c r="H102" s="15">
        <v>25.7</v>
      </c>
      <c r="I102" s="15">
        <v>42.5</v>
      </c>
      <c r="J102" s="14">
        <v>18687</v>
      </c>
      <c r="K102" s="14">
        <v>23397</v>
      </c>
      <c r="L102" s="13">
        <v>14244</v>
      </c>
      <c r="M102" s="13">
        <v>13527</v>
      </c>
      <c r="N102" s="13">
        <v>21551</v>
      </c>
      <c r="O102" s="13">
        <v>23476</v>
      </c>
      <c r="P102" s="13">
        <v>2013</v>
      </c>
      <c r="Q102" s="13">
        <v>2687</v>
      </c>
      <c r="R102" s="9">
        <f t="shared" si="3"/>
        <v>77498</v>
      </c>
    </row>
    <row r="103" spans="1:18">
      <c r="A103" s="6" t="s">
        <v>120</v>
      </c>
      <c r="B103" s="16" t="s">
        <v>128</v>
      </c>
      <c r="C103" s="6" t="s">
        <v>22</v>
      </c>
      <c r="D103" s="7">
        <v>6.36279085</v>
      </c>
      <c r="E103" s="7">
        <v>0.0952598707485648</v>
      </c>
      <c r="F103" s="14">
        <v>32892</v>
      </c>
      <c r="G103" s="8">
        <f t="shared" si="2"/>
        <v>35186</v>
      </c>
      <c r="H103" s="15">
        <v>21.8</v>
      </c>
      <c r="I103" s="15">
        <v>43.1</v>
      </c>
      <c r="J103" s="14">
        <v>18900</v>
      </c>
      <c r="K103" s="14">
        <v>21671</v>
      </c>
      <c r="L103" s="13">
        <v>16728</v>
      </c>
      <c r="M103" s="13">
        <v>16450</v>
      </c>
      <c r="N103" s="13">
        <v>29528</v>
      </c>
      <c r="O103" s="13">
        <v>32546</v>
      </c>
      <c r="P103" s="13">
        <v>2467</v>
      </c>
      <c r="Q103" s="13">
        <v>3537</v>
      </c>
      <c r="R103" s="9">
        <f t="shared" si="3"/>
        <v>101256</v>
      </c>
    </row>
    <row r="104" spans="1:18">
      <c r="A104" s="6" t="s">
        <v>120</v>
      </c>
      <c r="B104" s="16" t="s">
        <v>129</v>
      </c>
      <c r="C104" s="6" t="s">
        <v>22</v>
      </c>
      <c r="D104" s="7">
        <v>6.3954833</v>
      </c>
      <c r="E104" s="7">
        <v>-0.597296233359515</v>
      </c>
      <c r="F104" s="14">
        <v>22465</v>
      </c>
      <c r="G104" s="8">
        <f t="shared" si="2"/>
        <v>19027</v>
      </c>
      <c r="H104" s="15">
        <v>18.4</v>
      </c>
      <c r="I104" s="15">
        <v>42.4</v>
      </c>
      <c r="J104" s="14">
        <v>12972</v>
      </c>
      <c r="K104" s="14">
        <v>11549</v>
      </c>
      <c r="L104" s="13">
        <v>12055</v>
      </c>
      <c r="M104" s="13">
        <v>11100</v>
      </c>
      <c r="N104" s="13">
        <v>18975</v>
      </c>
      <c r="O104" s="13">
        <v>18809</v>
      </c>
      <c r="P104" s="13">
        <v>1641</v>
      </c>
      <c r="Q104" s="13">
        <v>2067</v>
      </c>
      <c r="R104" s="9">
        <f t="shared" si="3"/>
        <v>64647</v>
      </c>
    </row>
    <row r="105" spans="1:18">
      <c r="A105" s="6" t="s">
        <v>120</v>
      </c>
      <c r="B105" s="16" t="s">
        <v>130</v>
      </c>
      <c r="C105" s="6" t="s">
        <v>22</v>
      </c>
      <c r="D105" s="7">
        <v>6.20778059999999</v>
      </c>
      <c r="E105" s="7">
        <v>-0.635808682575408</v>
      </c>
      <c r="F105" s="14">
        <v>22581</v>
      </c>
      <c r="G105" s="8">
        <f t="shared" si="2"/>
        <v>16870</v>
      </c>
      <c r="H105" s="15">
        <v>18.9</v>
      </c>
      <c r="I105" s="15">
        <v>42.5</v>
      </c>
      <c r="J105" s="14">
        <v>12526</v>
      </c>
      <c r="K105" s="14">
        <v>18236</v>
      </c>
      <c r="L105" s="13">
        <v>11218</v>
      </c>
      <c r="M105" s="13">
        <v>10550</v>
      </c>
      <c r="N105" s="13">
        <v>18405</v>
      </c>
      <c r="O105" s="13">
        <v>17234</v>
      </c>
      <c r="P105" s="13">
        <v>1665</v>
      </c>
      <c r="Q105" s="13">
        <v>2147</v>
      </c>
      <c r="R105" s="9">
        <f t="shared" si="3"/>
        <v>61219</v>
      </c>
    </row>
    <row r="106" spans="1:18">
      <c r="A106" s="6" t="s">
        <v>120</v>
      </c>
      <c r="B106" s="16" t="s">
        <v>131</v>
      </c>
      <c r="C106" s="6" t="s">
        <v>22</v>
      </c>
      <c r="D106" s="7">
        <v>5.94469995</v>
      </c>
      <c r="E106" s="7">
        <v>-0.449937193103216</v>
      </c>
      <c r="F106" s="14">
        <v>34538</v>
      </c>
      <c r="G106" s="8">
        <f t="shared" si="2"/>
        <v>25736</v>
      </c>
      <c r="H106" s="15">
        <v>29.1</v>
      </c>
      <c r="I106" s="15">
        <v>42.9</v>
      </c>
      <c r="J106" s="14">
        <v>25899</v>
      </c>
      <c r="K106" s="14">
        <v>43995</v>
      </c>
      <c r="L106" s="13">
        <v>17710</v>
      </c>
      <c r="M106" s="13">
        <v>16610</v>
      </c>
      <c r="N106" s="13">
        <v>26702</v>
      </c>
      <c r="O106" s="13">
        <v>27364</v>
      </c>
      <c r="P106" s="13">
        <v>2749</v>
      </c>
      <c r="Q106" s="13">
        <v>3459</v>
      </c>
      <c r="R106" s="9">
        <f t="shared" si="3"/>
        <v>94594</v>
      </c>
    </row>
    <row r="107" spans="1:18">
      <c r="A107" s="6" t="s">
        <v>120</v>
      </c>
      <c r="B107" s="16" t="s">
        <v>132</v>
      </c>
      <c r="C107" s="6" t="s">
        <v>20</v>
      </c>
      <c r="D107" s="7">
        <v>5.97391735</v>
      </c>
      <c r="E107" s="7">
        <v>-1.00480959493596</v>
      </c>
      <c r="F107" s="14">
        <v>25276</v>
      </c>
      <c r="G107" s="8">
        <f t="shared" si="2"/>
        <v>26732</v>
      </c>
      <c r="H107" s="15">
        <v>11.9</v>
      </c>
      <c r="I107" s="15">
        <v>41.9</v>
      </c>
      <c r="J107" s="14">
        <v>9947</v>
      </c>
      <c r="K107" s="14">
        <v>9297</v>
      </c>
      <c r="L107" s="13">
        <v>12418</v>
      </c>
      <c r="M107" s="13">
        <v>11876</v>
      </c>
      <c r="N107" s="13">
        <v>22690</v>
      </c>
      <c r="O107" s="13">
        <v>26007</v>
      </c>
      <c r="P107" s="13">
        <v>1366</v>
      </c>
      <c r="Q107" s="13">
        <v>1945</v>
      </c>
      <c r="R107" s="9">
        <f t="shared" si="3"/>
        <v>76302</v>
      </c>
    </row>
    <row r="108" spans="1:18">
      <c r="A108" s="6" t="s">
        <v>120</v>
      </c>
      <c r="B108" s="16" t="s">
        <v>133</v>
      </c>
      <c r="C108" s="6" t="s">
        <v>22</v>
      </c>
      <c r="D108" s="7">
        <v>6.3681437</v>
      </c>
      <c r="E108" s="7">
        <v>-1.02271793293055</v>
      </c>
      <c r="F108" s="14">
        <v>28892</v>
      </c>
      <c r="G108" s="8">
        <f t="shared" si="2"/>
        <v>24334</v>
      </c>
      <c r="H108" s="15">
        <v>18.3</v>
      </c>
      <c r="I108" s="15">
        <v>42.6</v>
      </c>
      <c r="J108" s="14">
        <v>17609</v>
      </c>
      <c r="K108" s="14">
        <v>14185</v>
      </c>
      <c r="L108" s="13">
        <v>15155</v>
      </c>
      <c r="M108" s="13">
        <v>14288</v>
      </c>
      <c r="N108" s="13">
        <v>24286</v>
      </c>
      <c r="O108" s="13">
        <v>24728</v>
      </c>
      <c r="P108" s="13">
        <v>1902</v>
      </c>
      <c r="Q108" s="13">
        <v>2310</v>
      </c>
      <c r="R108" s="9">
        <f t="shared" si="3"/>
        <v>82669</v>
      </c>
    </row>
    <row r="109" spans="1:18">
      <c r="A109" s="6" t="s">
        <v>120</v>
      </c>
      <c r="B109" s="16" t="s">
        <v>134</v>
      </c>
      <c r="C109" s="6" t="s">
        <v>22</v>
      </c>
      <c r="D109" s="7">
        <v>5.9375343</v>
      </c>
      <c r="E109" s="7">
        <v>-1.0087951</v>
      </c>
      <c r="F109" s="14">
        <v>11610</v>
      </c>
      <c r="G109" s="8">
        <f t="shared" si="2"/>
        <v>11912</v>
      </c>
      <c r="H109" s="15">
        <v>24.9</v>
      </c>
      <c r="I109" s="15">
        <v>43.6</v>
      </c>
      <c r="J109" s="14">
        <v>7286</v>
      </c>
      <c r="K109" s="14">
        <v>10484</v>
      </c>
      <c r="L109" s="13">
        <v>6342</v>
      </c>
      <c r="M109" s="13">
        <v>5790</v>
      </c>
      <c r="N109" s="13">
        <v>10135</v>
      </c>
      <c r="O109" s="13">
        <v>11093</v>
      </c>
      <c r="P109" s="13">
        <v>943</v>
      </c>
      <c r="Q109" s="13">
        <v>1351</v>
      </c>
      <c r="R109" s="9">
        <f t="shared" si="3"/>
        <v>35654</v>
      </c>
    </row>
    <row r="110" spans="1:18">
      <c r="A110" s="6" t="s">
        <v>120</v>
      </c>
      <c r="B110" s="16" t="s">
        <v>135</v>
      </c>
      <c r="C110" s="6" t="s">
        <v>22</v>
      </c>
      <c r="D110" s="7">
        <v>6.05</v>
      </c>
      <c r="E110" s="7">
        <v>-0.8</v>
      </c>
      <c r="F110" s="14">
        <v>24095</v>
      </c>
      <c r="G110" s="8">
        <f t="shared" si="2"/>
        <v>27629</v>
      </c>
      <c r="H110" s="15">
        <v>18.1</v>
      </c>
      <c r="I110" s="15">
        <v>42.3</v>
      </c>
      <c r="J110" s="14">
        <v>15302</v>
      </c>
      <c r="K110" s="14">
        <v>9980</v>
      </c>
      <c r="L110" s="13">
        <v>12977</v>
      </c>
      <c r="M110" s="13">
        <v>12328</v>
      </c>
      <c r="N110" s="13">
        <v>23028</v>
      </c>
      <c r="O110" s="13">
        <v>24760</v>
      </c>
      <c r="P110" s="13">
        <v>1861</v>
      </c>
      <c r="Q110" s="13">
        <v>2075</v>
      </c>
      <c r="R110" s="9">
        <f t="shared" si="3"/>
        <v>77029</v>
      </c>
    </row>
    <row r="111" spans="1:18">
      <c r="A111" s="6" t="s">
        <v>120</v>
      </c>
      <c r="B111" s="16" t="s">
        <v>136</v>
      </c>
      <c r="C111" s="6" t="s">
        <v>22</v>
      </c>
      <c r="D111" s="7">
        <v>6.49761694999999</v>
      </c>
      <c r="E111" s="7">
        <v>-0.362546050326661</v>
      </c>
      <c r="F111" s="14">
        <v>21329</v>
      </c>
      <c r="G111" s="8">
        <f t="shared" si="2"/>
        <v>15599</v>
      </c>
      <c r="H111" s="15">
        <v>28.9</v>
      </c>
      <c r="I111" s="15">
        <v>41.9</v>
      </c>
      <c r="J111" s="14">
        <v>16278</v>
      </c>
      <c r="K111" s="14">
        <v>17663</v>
      </c>
      <c r="L111" s="13">
        <v>10479</v>
      </c>
      <c r="M111" s="13">
        <v>9580</v>
      </c>
      <c r="N111" s="13">
        <v>16908</v>
      </c>
      <c r="O111" s="13">
        <v>16701</v>
      </c>
      <c r="P111" s="13">
        <v>1470</v>
      </c>
      <c r="Q111" s="13">
        <v>1849</v>
      </c>
      <c r="R111" s="9">
        <f t="shared" si="3"/>
        <v>56987</v>
      </c>
    </row>
    <row r="112" spans="1:18">
      <c r="A112" s="6" t="s">
        <v>120</v>
      </c>
      <c r="B112" s="16" t="s">
        <v>137</v>
      </c>
      <c r="C112" s="6" t="s">
        <v>22</v>
      </c>
      <c r="D112" s="7">
        <v>6.37117379999999</v>
      </c>
      <c r="E112" s="7">
        <v>-0.311872167608319</v>
      </c>
      <c r="F112" s="14">
        <v>20099</v>
      </c>
      <c r="G112" s="8">
        <f t="shared" si="2"/>
        <v>16378</v>
      </c>
      <c r="H112" s="15">
        <v>21.7</v>
      </c>
      <c r="I112" s="15">
        <v>41.7</v>
      </c>
      <c r="J112" s="14">
        <v>9765</v>
      </c>
      <c r="K112" s="14">
        <v>13448</v>
      </c>
      <c r="L112" s="13">
        <v>9261</v>
      </c>
      <c r="M112" s="13">
        <v>8896</v>
      </c>
      <c r="N112" s="13">
        <v>16955</v>
      </c>
      <c r="O112" s="13">
        <v>16368</v>
      </c>
      <c r="P112" s="13">
        <v>1366</v>
      </c>
      <c r="Q112" s="13">
        <v>1788</v>
      </c>
      <c r="R112" s="9">
        <f t="shared" si="3"/>
        <v>54634</v>
      </c>
    </row>
    <row r="113" spans="1:18">
      <c r="A113" s="6" t="s">
        <v>120</v>
      </c>
      <c r="B113" s="16" t="s">
        <v>138</v>
      </c>
      <c r="C113" s="6" t="s">
        <v>20</v>
      </c>
      <c r="D113" s="7">
        <v>6.23359759999999</v>
      </c>
      <c r="E113" s="7">
        <v>-0.87590978580917</v>
      </c>
      <c r="F113" s="14">
        <v>42264</v>
      </c>
      <c r="G113" s="8">
        <f t="shared" si="2"/>
        <v>37174</v>
      </c>
      <c r="H113" s="15">
        <v>19.6</v>
      </c>
      <c r="I113" s="15">
        <v>42.9</v>
      </c>
      <c r="J113" s="14">
        <v>24805</v>
      </c>
      <c r="K113" s="14">
        <v>24359</v>
      </c>
      <c r="L113" s="13">
        <v>21732</v>
      </c>
      <c r="M113" s="13">
        <v>20528</v>
      </c>
      <c r="N113" s="13">
        <v>35226</v>
      </c>
      <c r="O113" s="13">
        <v>37175</v>
      </c>
      <c r="P113" s="13">
        <v>3152</v>
      </c>
      <c r="Q113" s="13">
        <v>3885</v>
      </c>
      <c r="R113" s="9">
        <f t="shared" si="3"/>
        <v>121698</v>
      </c>
    </row>
    <row r="114" spans="1:18">
      <c r="A114" s="6" t="s">
        <v>120</v>
      </c>
      <c r="B114" s="16" t="s">
        <v>139</v>
      </c>
      <c r="C114" s="6" t="s">
        <v>22</v>
      </c>
      <c r="D114" s="7">
        <v>6.8753584</v>
      </c>
      <c r="E114" s="7">
        <v>0.00474561233398435</v>
      </c>
      <c r="F114" s="14">
        <v>25007</v>
      </c>
      <c r="G114" s="8">
        <f t="shared" si="2"/>
        <v>16163</v>
      </c>
      <c r="H114" s="15">
        <v>48.5</v>
      </c>
      <c r="I114" s="15">
        <v>41.9</v>
      </c>
      <c r="J114" s="14">
        <v>28103</v>
      </c>
      <c r="K114" s="14">
        <v>32016</v>
      </c>
      <c r="L114" s="13">
        <v>13563</v>
      </c>
      <c r="M114" s="13">
        <v>11822</v>
      </c>
      <c r="N114" s="13">
        <v>20752</v>
      </c>
      <c r="O114" s="13">
        <v>17918</v>
      </c>
      <c r="P114" s="13">
        <v>1252</v>
      </c>
      <c r="Q114" s="13">
        <v>1248</v>
      </c>
      <c r="R114" s="9">
        <f t="shared" si="3"/>
        <v>66555</v>
      </c>
    </row>
    <row r="115" spans="1:18">
      <c r="A115" s="6" t="s">
        <v>120</v>
      </c>
      <c r="B115" s="16" t="s">
        <v>140</v>
      </c>
      <c r="C115" s="6" t="s">
        <v>22</v>
      </c>
      <c r="D115" s="7">
        <v>6.8854777</v>
      </c>
      <c r="E115" s="7">
        <v>-0.460380290065423</v>
      </c>
      <c r="F115" s="14">
        <v>28041</v>
      </c>
      <c r="G115" s="8">
        <f t="shared" si="2"/>
        <v>17113</v>
      </c>
      <c r="H115" s="15">
        <v>39.1</v>
      </c>
      <c r="I115" s="15">
        <v>41.6</v>
      </c>
      <c r="J115" s="14">
        <v>30008</v>
      </c>
      <c r="K115" s="14">
        <v>33075</v>
      </c>
      <c r="L115" s="13">
        <v>15184</v>
      </c>
      <c r="M115" s="13">
        <v>13664</v>
      </c>
      <c r="N115" s="13">
        <v>22847</v>
      </c>
      <c r="O115" s="13">
        <v>19800</v>
      </c>
      <c r="P115" s="13">
        <v>1392</v>
      </c>
      <c r="Q115" s="13">
        <v>1115</v>
      </c>
      <c r="R115" s="9">
        <f t="shared" si="3"/>
        <v>74002</v>
      </c>
    </row>
    <row r="116" spans="1:18">
      <c r="A116" s="6" t="s">
        <v>120</v>
      </c>
      <c r="B116" s="16" t="s">
        <v>141</v>
      </c>
      <c r="C116" s="6" t="s">
        <v>22</v>
      </c>
      <c r="D116" s="7">
        <v>6.73342465</v>
      </c>
      <c r="E116" s="7">
        <v>-0.81009459846416</v>
      </c>
      <c r="F116" s="14">
        <v>27342</v>
      </c>
      <c r="G116" s="8">
        <f t="shared" si="2"/>
        <v>25934</v>
      </c>
      <c r="H116" s="15">
        <v>29.4</v>
      </c>
      <c r="I116" s="15">
        <v>42</v>
      </c>
      <c r="J116" s="14">
        <v>19159</v>
      </c>
      <c r="K116" s="14">
        <v>25110</v>
      </c>
      <c r="L116" s="13">
        <v>14034</v>
      </c>
      <c r="M116" s="13">
        <v>12923</v>
      </c>
      <c r="N116" s="13">
        <v>24195</v>
      </c>
      <c r="O116" s="13">
        <v>23179</v>
      </c>
      <c r="P116" s="13">
        <v>2341</v>
      </c>
      <c r="Q116" s="13">
        <v>3561</v>
      </c>
      <c r="R116" s="9">
        <f t="shared" si="3"/>
        <v>80233</v>
      </c>
    </row>
    <row r="117" spans="1:18">
      <c r="A117" s="6" t="s">
        <v>120</v>
      </c>
      <c r="B117" s="16" t="s">
        <v>142</v>
      </c>
      <c r="C117" s="6" t="s">
        <v>20</v>
      </c>
      <c r="D117" s="7">
        <v>8.25846</v>
      </c>
      <c r="E117" s="7">
        <v>0.508747</v>
      </c>
      <c r="F117" s="14">
        <v>25687</v>
      </c>
      <c r="G117" s="8">
        <f t="shared" si="2"/>
        <v>26212</v>
      </c>
      <c r="H117" s="15">
        <v>28.8</v>
      </c>
      <c r="I117" s="15">
        <v>43.4</v>
      </c>
      <c r="J117" s="14">
        <v>18927</v>
      </c>
      <c r="K117" s="14">
        <v>22821</v>
      </c>
      <c r="L117" s="13">
        <v>14332</v>
      </c>
      <c r="M117" s="13">
        <v>13620</v>
      </c>
      <c r="N117" s="13">
        <v>21905</v>
      </c>
      <c r="O117" s="13">
        <v>24447</v>
      </c>
      <c r="P117" s="13">
        <v>2130</v>
      </c>
      <c r="Q117" s="13">
        <v>3417</v>
      </c>
      <c r="R117" s="9">
        <f t="shared" si="3"/>
        <v>79851</v>
      </c>
    </row>
    <row r="118" spans="1:18">
      <c r="A118" s="6" t="s">
        <v>120</v>
      </c>
      <c r="B118" s="16" t="s">
        <v>143</v>
      </c>
      <c r="C118" s="6" t="s">
        <v>20</v>
      </c>
      <c r="D118" s="7">
        <v>6.49118254999999</v>
      </c>
      <c r="E118" s="7">
        <v>-0.728456087972531</v>
      </c>
      <c r="F118" s="14">
        <v>51012</v>
      </c>
      <c r="G118" s="8">
        <f t="shared" si="2"/>
        <v>42241</v>
      </c>
      <c r="H118" s="15">
        <v>15.1</v>
      </c>
      <c r="I118" s="15">
        <v>41.9</v>
      </c>
      <c r="J118" s="14">
        <v>24009</v>
      </c>
      <c r="K118" s="14">
        <v>24021</v>
      </c>
      <c r="L118" s="13">
        <v>26637</v>
      </c>
      <c r="M118" s="13">
        <v>25539</v>
      </c>
      <c r="N118" s="13">
        <v>40551</v>
      </c>
      <c r="O118" s="13">
        <v>44751</v>
      </c>
      <c r="P118" s="13">
        <v>3344</v>
      </c>
      <c r="Q118" s="13">
        <v>4607</v>
      </c>
      <c r="R118" s="9">
        <f t="shared" si="3"/>
        <v>145429</v>
      </c>
    </row>
    <row r="119" spans="1:18">
      <c r="A119" s="6" t="s">
        <v>120</v>
      </c>
      <c r="B119" s="16" t="s">
        <v>144</v>
      </c>
      <c r="C119" s="6" t="s">
        <v>20</v>
      </c>
      <c r="D119" s="7">
        <v>6.2127831</v>
      </c>
      <c r="E119" s="7">
        <v>-0.0404975690174626</v>
      </c>
      <c r="F119" s="14">
        <v>36376</v>
      </c>
      <c r="G119" s="8">
        <f t="shared" si="2"/>
        <v>48533</v>
      </c>
      <c r="H119" s="15">
        <v>19.8</v>
      </c>
      <c r="I119" s="15">
        <v>43.4</v>
      </c>
      <c r="J119" s="14">
        <v>24179</v>
      </c>
      <c r="K119" s="14">
        <v>24965</v>
      </c>
      <c r="L119" s="13">
        <v>18640</v>
      </c>
      <c r="M119" s="13">
        <v>18300</v>
      </c>
      <c r="N119" s="13">
        <v>35520</v>
      </c>
      <c r="O119" s="13">
        <v>42445</v>
      </c>
      <c r="P119" s="13">
        <v>2707</v>
      </c>
      <c r="Q119" s="13">
        <v>4237</v>
      </c>
      <c r="R119" s="9">
        <f t="shared" si="3"/>
        <v>121849</v>
      </c>
    </row>
    <row r="120" spans="1:18">
      <c r="A120" s="6" t="s">
        <v>120</v>
      </c>
      <c r="B120" s="16" t="s">
        <v>145</v>
      </c>
      <c r="C120" s="6" t="s">
        <v>20</v>
      </c>
      <c r="D120" s="7">
        <v>6.1364245</v>
      </c>
      <c r="E120" s="7">
        <v>-0.312846157003848</v>
      </c>
      <c r="F120" s="14">
        <v>28972</v>
      </c>
      <c r="G120" s="8">
        <f t="shared" si="2"/>
        <v>34529</v>
      </c>
      <c r="H120" s="15">
        <v>10.6</v>
      </c>
      <c r="I120" s="15">
        <v>41.7</v>
      </c>
      <c r="J120" s="14">
        <v>8759</v>
      </c>
      <c r="K120" s="14">
        <v>9993</v>
      </c>
      <c r="L120" s="13">
        <v>12629</v>
      </c>
      <c r="M120" s="13">
        <v>12586</v>
      </c>
      <c r="N120" s="13">
        <v>29655</v>
      </c>
      <c r="O120" s="13">
        <v>29388</v>
      </c>
      <c r="P120" s="13">
        <v>1878</v>
      </c>
      <c r="Q120" s="13">
        <v>2580</v>
      </c>
      <c r="R120" s="9">
        <f t="shared" si="3"/>
        <v>88716</v>
      </c>
    </row>
    <row r="121" spans="1:18">
      <c r="A121" s="6" t="s">
        <v>120</v>
      </c>
      <c r="B121" s="16" t="s">
        <v>146</v>
      </c>
      <c r="C121" s="6" t="s">
        <v>20</v>
      </c>
      <c r="D121" s="7">
        <v>6.0721368</v>
      </c>
      <c r="E121" s="7">
        <v>-0.260652306105858</v>
      </c>
      <c r="F121" s="14">
        <v>48553</v>
      </c>
      <c r="G121" s="8">
        <f t="shared" si="2"/>
        <v>45659</v>
      </c>
      <c r="H121" s="15">
        <v>8.5</v>
      </c>
      <c r="I121" s="15">
        <v>41.1</v>
      </c>
      <c r="J121" s="14">
        <v>11820</v>
      </c>
      <c r="K121" s="14">
        <v>16248</v>
      </c>
      <c r="L121" s="13">
        <v>17745</v>
      </c>
      <c r="M121" s="13">
        <v>17784</v>
      </c>
      <c r="N121" s="13">
        <v>42075</v>
      </c>
      <c r="O121" s="13">
        <v>44834</v>
      </c>
      <c r="P121" s="13">
        <v>2987</v>
      </c>
      <c r="Q121" s="13">
        <v>4316</v>
      </c>
      <c r="R121" s="9">
        <f t="shared" si="3"/>
        <v>129741</v>
      </c>
    </row>
    <row r="122" spans="1:18">
      <c r="A122" s="6" t="s">
        <v>120</v>
      </c>
      <c r="B122" s="16" t="s">
        <v>147</v>
      </c>
      <c r="C122" s="6" t="s">
        <v>20</v>
      </c>
      <c r="D122" s="7">
        <v>5.81791215</v>
      </c>
      <c r="E122" s="7">
        <v>-0.36426765</v>
      </c>
      <c r="F122" s="14">
        <v>55497</v>
      </c>
      <c r="G122" s="8">
        <f t="shared" si="2"/>
        <v>48522</v>
      </c>
      <c r="H122" s="15">
        <v>13</v>
      </c>
      <c r="I122" s="15">
        <v>43.4</v>
      </c>
      <c r="J122" s="14">
        <v>24185</v>
      </c>
      <c r="K122" s="14">
        <v>45530</v>
      </c>
      <c r="L122" s="13">
        <v>25823</v>
      </c>
      <c r="M122" s="13">
        <v>25755</v>
      </c>
      <c r="N122" s="13">
        <v>47801</v>
      </c>
      <c r="O122" s="13">
        <v>49554</v>
      </c>
      <c r="P122" s="13">
        <v>2793</v>
      </c>
      <c r="Q122" s="13">
        <v>3871</v>
      </c>
      <c r="R122" s="9">
        <f t="shared" si="3"/>
        <v>155597</v>
      </c>
    </row>
    <row r="123" spans="1:18">
      <c r="A123" s="6" t="s">
        <v>120</v>
      </c>
      <c r="B123" s="16" t="s">
        <v>148</v>
      </c>
      <c r="C123" s="6" t="s">
        <v>22</v>
      </c>
      <c r="D123" s="7">
        <v>6.04034605</v>
      </c>
      <c r="E123" s="7">
        <v>-0.127770489495342</v>
      </c>
      <c r="F123" s="14">
        <v>18071</v>
      </c>
      <c r="G123" s="8">
        <f t="shared" si="2"/>
        <v>16536</v>
      </c>
      <c r="H123" s="15">
        <v>24</v>
      </c>
      <c r="I123" s="15">
        <v>42.4</v>
      </c>
      <c r="J123" s="14">
        <v>11127</v>
      </c>
      <c r="K123" s="14">
        <v>18125</v>
      </c>
      <c r="L123" s="13">
        <v>8691</v>
      </c>
      <c r="M123" s="13">
        <v>8377</v>
      </c>
      <c r="N123" s="13">
        <v>14452</v>
      </c>
      <c r="O123" s="13">
        <v>16239</v>
      </c>
      <c r="P123" s="13">
        <v>1439</v>
      </c>
      <c r="Q123" s="13">
        <v>2477</v>
      </c>
      <c r="R123" s="9">
        <f t="shared" si="3"/>
        <v>51675</v>
      </c>
    </row>
    <row r="124" spans="1:18">
      <c r="A124" s="6" t="s">
        <v>120</v>
      </c>
      <c r="B124" s="16" t="s">
        <v>149</v>
      </c>
      <c r="C124" s="6" t="s">
        <v>20</v>
      </c>
      <c r="D124" s="7">
        <v>6.035885</v>
      </c>
      <c r="E124" s="7">
        <v>-0.4552751</v>
      </c>
      <c r="F124" s="14">
        <v>49088</v>
      </c>
      <c r="G124" s="8">
        <f t="shared" si="2"/>
        <v>34705</v>
      </c>
      <c r="H124" s="15">
        <v>17.6</v>
      </c>
      <c r="I124" s="15">
        <v>42</v>
      </c>
      <c r="J124" s="14">
        <v>23909</v>
      </c>
      <c r="K124" s="14">
        <v>36085</v>
      </c>
      <c r="L124" s="13">
        <v>21768</v>
      </c>
      <c r="M124" s="13">
        <v>20842</v>
      </c>
      <c r="N124" s="13">
        <v>36414</v>
      </c>
      <c r="O124" s="13">
        <v>40187</v>
      </c>
      <c r="P124" s="13">
        <v>3044</v>
      </c>
      <c r="Q124" s="13">
        <v>4148</v>
      </c>
      <c r="R124" s="9">
        <f t="shared" si="3"/>
        <v>126403</v>
      </c>
    </row>
    <row r="125" spans="1:18">
      <c r="A125" s="6" t="s">
        <v>120</v>
      </c>
      <c r="B125" s="16" t="s">
        <v>150</v>
      </c>
      <c r="C125" s="6" t="s">
        <v>22</v>
      </c>
      <c r="D125" s="7">
        <v>6.40201115</v>
      </c>
      <c r="E125" s="7">
        <v>-0.134429386146108</v>
      </c>
      <c r="F125" s="14">
        <v>28918</v>
      </c>
      <c r="G125" s="8">
        <f t="shared" si="2"/>
        <v>16271</v>
      </c>
      <c r="H125" s="15">
        <v>32.7</v>
      </c>
      <c r="I125" s="15">
        <v>40.5</v>
      </c>
      <c r="J125" s="14">
        <v>24935</v>
      </c>
      <c r="K125" s="14">
        <v>26939</v>
      </c>
      <c r="L125" s="13">
        <v>13252</v>
      </c>
      <c r="M125" s="13">
        <v>12171</v>
      </c>
      <c r="N125" s="13">
        <v>20360</v>
      </c>
      <c r="O125" s="13">
        <v>20752</v>
      </c>
      <c r="P125" s="13">
        <v>1981</v>
      </c>
      <c r="Q125" s="13">
        <v>2096</v>
      </c>
      <c r="R125" s="9">
        <f t="shared" si="3"/>
        <v>70612</v>
      </c>
    </row>
    <row r="126" spans="1:18">
      <c r="A126" s="6" t="s">
        <v>120</v>
      </c>
      <c r="B126" s="16" t="s">
        <v>151</v>
      </c>
      <c r="C126" s="6" t="s">
        <v>22</v>
      </c>
      <c r="D126" s="7">
        <v>5.80678025</v>
      </c>
      <c r="E126" s="7">
        <v>-0.540057196199224</v>
      </c>
      <c r="F126" s="14">
        <v>33617</v>
      </c>
      <c r="G126" s="8">
        <f t="shared" si="2"/>
        <v>27069</v>
      </c>
      <c r="H126" s="15">
        <v>29.7</v>
      </c>
      <c r="I126" s="15">
        <v>43.7</v>
      </c>
      <c r="J126" s="14">
        <v>27158</v>
      </c>
      <c r="K126" s="14">
        <v>47183</v>
      </c>
      <c r="L126" s="13">
        <v>17860</v>
      </c>
      <c r="M126" s="13">
        <v>17309</v>
      </c>
      <c r="N126" s="13">
        <v>26665</v>
      </c>
      <c r="O126" s="13">
        <v>28405</v>
      </c>
      <c r="P126" s="13">
        <v>2263</v>
      </c>
      <c r="Q126" s="13">
        <v>3353</v>
      </c>
      <c r="R126" s="9">
        <f t="shared" si="3"/>
        <v>95855</v>
      </c>
    </row>
    <row r="127" spans="1:18">
      <c r="A127" s="6" t="s">
        <v>120</v>
      </c>
      <c r="B127" s="16" t="s">
        <v>152</v>
      </c>
      <c r="C127" s="6" t="s">
        <v>20</v>
      </c>
      <c r="D127" s="7">
        <v>5.9070609</v>
      </c>
      <c r="E127" s="7">
        <v>-0.68318054757923</v>
      </c>
      <c r="F127" s="14">
        <v>40323</v>
      </c>
      <c r="G127" s="8">
        <f t="shared" si="2"/>
        <v>36708</v>
      </c>
      <c r="H127" s="15">
        <v>23.7</v>
      </c>
      <c r="I127" s="15">
        <v>43</v>
      </c>
      <c r="J127" s="14">
        <v>27295</v>
      </c>
      <c r="K127" s="14">
        <v>33081</v>
      </c>
      <c r="L127" s="13">
        <v>20654</v>
      </c>
      <c r="M127" s="13">
        <v>19996</v>
      </c>
      <c r="N127" s="13">
        <v>33607</v>
      </c>
      <c r="O127" s="13">
        <v>36756</v>
      </c>
      <c r="P127" s="13">
        <v>2767</v>
      </c>
      <c r="Q127" s="13">
        <v>3901</v>
      </c>
      <c r="R127" s="9">
        <f t="shared" si="3"/>
        <v>117681</v>
      </c>
    </row>
    <row r="128" spans="1:18">
      <c r="A128" s="6" t="s">
        <v>120</v>
      </c>
      <c r="B128" s="16" t="s">
        <v>153</v>
      </c>
      <c r="C128" s="6" t="s">
        <v>20</v>
      </c>
      <c r="D128" s="7">
        <v>6.1564095</v>
      </c>
      <c r="E128" s="7">
        <v>-0.167401779755807</v>
      </c>
      <c r="F128" s="14">
        <v>45081</v>
      </c>
      <c r="G128" s="8">
        <f t="shared" si="2"/>
        <v>36387</v>
      </c>
      <c r="H128" s="15">
        <v>21.5</v>
      </c>
      <c r="I128" s="15">
        <v>42.1</v>
      </c>
      <c r="J128" s="14">
        <v>25873</v>
      </c>
      <c r="K128" s="14">
        <v>36007</v>
      </c>
      <c r="L128" s="13">
        <v>20749</v>
      </c>
      <c r="M128" s="13">
        <v>20181</v>
      </c>
      <c r="N128" s="13">
        <v>35736</v>
      </c>
      <c r="O128" s="13">
        <v>38765</v>
      </c>
      <c r="P128" s="13">
        <v>2993</v>
      </c>
      <c r="Q128" s="13">
        <v>3974</v>
      </c>
      <c r="R128" s="9">
        <f t="shared" si="3"/>
        <v>122398</v>
      </c>
    </row>
    <row r="129" spans="1:18">
      <c r="A129" s="6" t="s">
        <v>154</v>
      </c>
      <c r="B129" s="16" t="s">
        <v>155</v>
      </c>
      <c r="C129" s="6" t="s">
        <v>20</v>
      </c>
      <c r="D129" s="7">
        <v>5.5541808</v>
      </c>
      <c r="E129" s="7">
        <v>-0.24078224491606</v>
      </c>
      <c r="F129" s="14">
        <v>71986</v>
      </c>
      <c r="G129" s="8">
        <f t="shared" si="2"/>
        <v>49569</v>
      </c>
      <c r="H129" s="15">
        <v>9.4</v>
      </c>
      <c r="I129" s="15">
        <v>45.2</v>
      </c>
      <c r="J129" s="14">
        <v>20160</v>
      </c>
      <c r="K129" s="14">
        <v>61784</v>
      </c>
      <c r="L129" s="13">
        <v>23738</v>
      </c>
      <c r="M129" s="13">
        <v>23852</v>
      </c>
      <c r="N129" s="13">
        <v>55723</v>
      </c>
      <c r="O129" s="13">
        <v>58491</v>
      </c>
      <c r="P129" s="13">
        <v>3133</v>
      </c>
      <c r="Q129" s="13">
        <v>4208</v>
      </c>
      <c r="R129" s="9">
        <f t="shared" si="3"/>
        <v>169145</v>
      </c>
    </row>
    <row r="130" spans="1:18">
      <c r="A130" s="6" t="s">
        <v>154</v>
      </c>
      <c r="B130" s="16" t="s">
        <v>156</v>
      </c>
      <c r="C130" s="6" t="s">
        <v>20</v>
      </c>
      <c r="D130" s="7">
        <v>5.58719365</v>
      </c>
      <c r="E130" s="7">
        <v>-0.263259064824942</v>
      </c>
      <c r="F130" s="14">
        <v>69225</v>
      </c>
      <c r="G130" s="8">
        <f t="shared" si="2"/>
        <v>45302</v>
      </c>
      <c r="H130" s="15">
        <v>8.3</v>
      </c>
      <c r="I130" s="15">
        <v>42.9</v>
      </c>
      <c r="J130" s="14">
        <v>11382</v>
      </c>
      <c r="K130" s="14">
        <v>58368</v>
      </c>
      <c r="L130" s="13">
        <v>22388</v>
      </c>
      <c r="M130" s="13">
        <v>22293</v>
      </c>
      <c r="N130" s="13">
        <v>51922</v>
      </c>
      <c r="O130" s="13">
        <v>56500</v>
      </c>
      <c r="P130" s="13">
        <v>2472</v>
      </c>
      <c r="Q130" s="13">
        <v>3633</v>
      </c>
      <c r="R130" s="9">
        <f t="shared" si="3"/>
        <v>159208</v>
      </c>
    </row>
    <row r="131" spans="1:18">
      <c r="A131" s="6" t="s">
        <v>154</v>
      </c>
      <c r="B131" s="16" t="s">
        <v>157</v>
      </c>
      <c r="C131" s="6" t="s">
        <v>20</v>
      </c>
      <c r="D131" s="7">
        <v>5.5431939</v>
      </c>
      <c r="E131" s="7">
        <v>-0.26615017413473</v>
      </c>
      <c r="F131" s="14">
        <v>61592</v>
      </c>
      <c r="G131" s="8">
        <f t="shared" ref="G131:G194" si="4">SUM(N131:Q131)-SUM(F131)</f>
        <v>46044</v>
      </c>
      <c r="H131" s="15">
        <v>8.9</v>
      </c>
      <c r="I131" s="15">
        <v>43</v>
      </c>
      <c r="J131" s="14">
        <v>12511</v>
      </c>
      <c r="K131" s="14">
        <v>60497</v>
      </c>
      <c r="L131" s="13">
        <v>22920</v>
      </c>
      <c r="M131" s="13">
        <v>22934</v>
      </c>
      <c r="N131" s="13">
        <v>48489</v>
      </c>
      <c r="O131" s="13">
        <v>53014</v>
      </c>
      <c r="P131" s="13">
        <v>2470</v>
      </c>
      <c r="Q131" s="13">
        <v>3663</v>
      </c>
      <c r="R131" s="9">
        <f t="shared" ref="R131:R194" si="5">SUM(L131:Q131)</f>
        <v>153490</v>
      </c>
    </row>
    <row r="132" s="4" customFormat="1" spans="1:18">
      <c r="A132" s="27" t="s">
        <v>154</v>
      </c>
      <c r="B132" s="28" t="s">
        <v>158</v>
      </c>
      <c r="C132" s="27" t="s">
        <v>56</v>
      </c>
      <c r="D132" s="29">
        <v>5.55381875</v>
      </c>
      <c r="E132" s="29">
        <v>-0.205849787615075</v>
      </c>
      <c r="F132" s="30">
        <v>121103</v>
      </c>
      <c r="G132" s="31">
        <f t="shared" si="4"/>
        <v>84691</v>
      </c>
      <c r="H132" s="34">
        <v>11.1</v>
      </c>
      <c r="I132" s="34">
        <v>43.9</v>
      </c>
      <c r="J132" s="30">
        <v>46139</v>
      </c>
      <c r="K132" s="30">
        <v>105374</v>
      </c>
      <c r="L132" s="32">
        <v>35341</v>
      </c>
      <c r="M132" s="32">
        <v>35862</v>
      </c>
      <c r="N132" s="32">
        <v>94041</v>
      </c>
      <c r="O132" s="32">
        <v>106780</v>
      </c>
      <c r="P132" s="32">
        <v>1895</v>
      </c>
      <c r="Q132" s="32">
        <v>3078</v>
      </c>
      <c r="R132" s="33">
        <f t="shared" si="5"/>
        <v>276997</v>
      </c>
    </row>
    <row r="133" spans="1:18">
      <c r="A133" s="6" t="s">
        <v>154</v>
      </c>
      <c r="B133" s="16" t="s">
        <v>159</v>
      </c>
      <c r="C133" s="6" t="s">
        <v>22</v>
      </c>
      <c r="D133" s="7">
        <v>5.8761016</v>
      </c>
      <c r="E133" s="7">
        <v>0.549568161630084</v>
      </c>
      <c r="F133" s="14">
        <v>23660</v>
      </c>
      <c r="G133" s="8">
        <f t="shared" si="4"/>
        <v>24880</v>
      </c>
      <c r="H133" s="15">
        <v>28.2</v>
      </c>
      <c r="I133" s="15">
        <v>44.2</v>
      </c>
      <c r="J133" s="14">
        <v>22384</v>
      </c>
      <c r="K133" s="14">
        <v>32786</v>
      </c>
      <c r="L133" s="13">
        <v>14190</v>
      </c>
      <c r="M133" s="13">
        <v>13681</v>
      </c>
      <c r="N133" s="13">
        <v>21337</v>
      </c>
      <c r="O133" s="13">
        <v>23053</v>
      </c>
      <c r="P133" s="13">
        <v>1507</v>
      </c>
      <c r="Q133" s="13">
        <v>2643</v>
      </c>
      <c r="R133" s="9">
        <f t="shared" si="5"/>
        <v>76411</v>
      </c>
    </row>
    <row r="134" spans="1:18">
      <c r="A134" s="6" t="s">
        <v>154</v>
      </c>
      <c r="B134" s="16" t="s">
        <v>160</v>
      </c>
      <c r="C134" s="6" t="s">
        <v>22</v>
      </c>
      <c r="D134" s="7">
        <v>5.9040093</v>
      </c>
      <c r="E134" s="7">
        <v>0.420370257026968</v>
      </c>
      <c r="F134" s="14">
        <v>22587</v>
      </c>
      <c r="G134" s="8">
        <f t="shared" si="4"/>
        <v>22495</v>
      </c>
      <c r="H134" s="15">
        <v>40.1</v>
      </c>
      <c r="I134" s="15">
        <v>44.7</v>
      </c>
      <c r="J134" s="14">
        <v>25206</v>
      </c>
      <c r="K134" s="14">
        <v>45090</v>
      </c>
      <c r="L134" s="13">
        <v>15739</v>
      </c>
      <c r="M134" s="13">
        <v>15266</v>
      </c>
      <c r="N134" s="13">
        <v>20114</v>
      </c>
      <c r="O134" s="13">
        <v>21662</v>
      </c>
      <c r="P134" s="13">
        <v>1279</v>
      </c>
      <c r="Q134" s="13">
        <v>2027</v>
      </c>
      <c r="R134" s="9">
        <f t="shared" si="5"/>
        <v>76087</v>
      </c>
    </row>
    <row r="135" spans="1:18">
      <c r="A135" s="6" t="s">
        <v>154</v>
      </c>
      <c r="B135" s="16" t="s">
        <v>161</v>
      </c>
      <c r="C135" s="6" t="s">
        <v>20</v>
      </c>
      <c r="D135" s="7">
        <v>5.7042433</v>
      </c>
      <c r="E135" s="7">
        <v>-0.1690967</v>
      </c>
      <c r="F135" s="14">
        <v>108423</v>
      </c>
      <c r="G135" s="8">
        <f t="shared" si="4"/>
        <v>82032</v>
      </c>
      <c r="H135" s="15">
        <v>8.3</v>
      </c>
      <c r="I135" s="15">
        <v>41.8</v>
      </c>
      <c r="J135" s="14">
        <v>18956</v>
      </c>
      <c r="K135" s="14">
        <v>99635</v>
      </c>
      <c r="L135" s="13">
        <v>37515</v>
      </c>
      <c r="M135" s="13">
        <v>38001</v>
      </c>
      <c r="N135" s="13">
        <v>90372</v>
      </c>
      <c r="O135" s="13">
        <v>91225</v>
      </c>
      <c r="P135" s="13">
        <v>4078</v>
      </c>
      <c r="Q135" s="13">
        <v>4780</v>
      </c>
      <c r="R135" s="9">
        <f t="shared" si="5"/>
        <v>265971</v>
      </c>
    </row>
    <row r="136" spans="1:18">
      <c r="A136" s="6" t="s">
        <v>154</v>
      </c>
      <c r="B136" s="16" t="s">
        <v>162</v>
      </c>
      <c r="C136" s="6" t="s">
        <v>20</v>
      </c>
      <c r="D136" s="7">
        <v>5.6993574</v>
      </c>
      <c r="E136" s="7">
        <v>-0.0348533202566188</v>
      </c>
      <c r="F136" s="14">
        <v>90383</v>
      </c>
      <c r="G136" s="8">
        <f t="shared" si="4"/>
        <v>55066</v>
      </c>
      <c r="H136" s="15">
        <v>7.5</v>
      </c>
      <c r="I136" s="15">
        <v>43.3</v>
      </c>
      <c r="J136" s="14">
        <v>23548</v>
      </c>
      <c r="K136" s="14">
        <v>72971</v>
      </c>
      <c r="L136" s="13">
        <v>31383</v>
      </c>
      <c r="M136" s="13">
        <v>31228</v>
      </c>
      <c r="N136" s="13">
        <v>68910</v>
      </c>
      <c r="O136" s="13">
        <v>70025</v>
      </c>
      <c r="P136" s="13">
        <v>3117</v>
      </c>
      <c r="Q136" s="13">
        <v>3397</v>
      </c>
      <c r="R136" s="9">
        <f t="shared" si="5"/>
        <v>208060</v>
      </c>
    </row>
    <row r="137" spans="1:18">
      <c r="A137" s="6" t="s">
        <v>154</v>
      </c>
      <c r="B137" s="16" t="s">
        <v>163</v>
      </c>
      <c r="C137" s="6" t="s">
        <v>20</v>
      </c>
      <c r="D137" s="7">
        <v>5.59137939999999</v>
      </c>
      <c r="E137" s="7">
        <v>-0.212668442666915</v>
      </c>
      <c r="F137" s="14">
        <v>39158</v>
      </c>
      <c r="G137" s="8">
        <f t="shared" si="4"/>
        <v>30825</v>
      </c>
      <c r="H137" s="15">
        <v>12.2</v>
      </c>
      <c r="I137" s="15">
        <v>42.8</v>
      </c>
      <c r="J137" s="14">
        <v>8646</v>
      </c>
      <c r="K137" s="14">
        <v>41548</v>
      </c>
      <c r="L137" s="13">
        <v>12311</v>
      </c>
      <c r="M137" s="13">
        <v>12537</v>
      </c>
      <c r="N137" s="13">
        <v>32353</v>
      </c>
      <c r="O137" s="13">
        <v>33339</v>
      </c>
      <c r="P137" s="13">
        <v>1824</v>
      </c>
      <c r="Q137" s="13">
        <v>2467</v>
      </c>
      <c r="R137" s="9">
        <f t="shared" si="5"/>
        <v>94831</v>
      </c>
    </row>
    <row r="138" spans="1:18">
      <c r="A138" s="6" t="s">
        <v>154</v>
      </c>
      <c r="B138" s="16" t="s">
        <v>164</v>
      </c>
      <c r="C138" s="6" t="s">
        <v>20</v>
      </c>
      <c r="D138" s="7">
        <v>5.5828425</v>
      </c>
      <c r="E138" s="7">
        <v>-0.194266228463183</v>
      </c>
      <c r="F138" s="14">
        <v>18510</v>
      </c>
      <c r="G138" s="8">
        <f t="shared" si="4"/>
        <v>19828</v>
      </c>
      <c r="H138" s="15">
        <v>15.4</v>
      </c>
      <c r="I138" s="15">
        <v>44</v>
      </c>
      <c r="J138" s="14">
        <v>10085</v>
      </c>
      <c r="K138" s="14">
        <v>20605</v>
      </c>
      <c r="L138" s="13">
        <v>7206</v>
      </c>
      <c r="M138" s="13">
        <v>7460</v>
      </c>
      <c r="N138" s="13">
        <v>16935</v>
      </c>
      <c r="O138" s="13">
        <v>18521</v>
      </c>
      <c r="P138" s="13">
        <v>1297</v>
      </c>
      <c r="Q138" s="13">
        <v>1585</v>
      </c>
      <c r="R138" s="9">
        <f t="shared" si="5"/>
        <v>53004</v>
      </c>
    </row>
    <row r="139" spans="1:18">
      <c r="A139" s="6" t="s">
        <v>154</v>
      </c>
      <c r="B139" s="16" t="s">
        <v>165</v>
      </c>
      <c r="C139" s="6" t="s">
        <v>20</v>
      </c>
      <c r="D139" s="7">
        <v>5.5908829</v>
      </c>
      <c r="E139" s="7">
        <v>-0.199044848506062</v>
      </c>
      <c r="F139" s="14">
        <v>22947</v>
      </c>
      <c r="G139" s="8">
        <f t="shared" si="4"/>
        <v>23128</v>
      </c>
      <c r="H139" s="15">
        <v>13.9</v>
      </c>
      <c r="I139" s="15">
        <v>43.8</v>
      </c>
      <c r="J139" s="14">
        <v>9042</v>
      </c>
      <c r="K139" s="14">
        <v>21546</v>
      </c>
      <c r="L139" s="13">
        <v>8488</v>
      </c>
      <c r="M139" s="13">
        <v>8823</v>
      </c>
      <c r="N139" s="13">
        <v>20220</v>
      </c>
      <c r="O139" s="13">
        <v>22837</v>
      </c>
      <c r="P139" s="13">
        <v>1335</v>
      </c>
      <c r="Q139" s="13">
        <v>1683</v>
      </c>
      <c r="R139" s="9">
        <f t="shared" si="5"/>
        <v>63386</v>
      </c>
    </row>
    <row r="140" spans="1:18">
      <c r="A140" s="6" t="s">
        <v>154</v>
      </c>
      <c r="B140" s="16" t="s">
        <v>166</v>
      </c>
      <c r="C140" s="6" t="s">
        <v>20</v>
      </c>
      <c r="D140" s="7">
        <v>5.62669775</v>
      </c>
      <c r="E140" s="7">
        <v>-0.179111178909241</v>
      </c>
      <c r="F140" s="14">
        <v>27690</v>
      </c>
      <c r="G140" s="8">
        <f t="shared" si="4"/>
        <v>33319</v>
      </c>
      <c r="H140" s="15">
        <v>9.3</v>
      </c>
      <c r="I140" s="15">
        <v>41.6</v>
      </c>
      <c r="J140" s="14">
        <v>4076</v>
      </c>
      <c r="K140" s="14">
        <v>26430</v>
      </c>
      <c r="L140" s="13">
        <v>7177</v>
      </c>
      <c r="M140" s="13">
        <v>7117</v>
      </c>
      <c r="N140" s="13">
        <v>30110</v>
      </c>
      <c r="O140" s="13">
        <v>27974</v>
      </c>
      <c r="P140" s="13">
        <v>1327</v>
      </c>
      <c r="Q140" s="13">
        <v>1598</v>
      </c>
      <c r="R140" s="9">
        <f t="shared" si="5"/>
        <v>75303</v>
      </c>
    </row>
    <row r="141" spans="1:18">
      <c r="A141" s="6" t="s">
        <v>154</v>
      </c>
      <c r="B141" s="16" t="s">
        <v>167</v>
      </c>
      <c r="C141" s="6" t="s">
        <v>20</v>
      </c>
      <c r="D141" s="7">
        <v>5.3203951</v>
      </c>
      <c r="E141" s="7">
        <v>-2.0334832</v>
      </c>
      <c r="F141" s="14">
        <v>135748</v>
      </c>
      <c r="G141" s="8">
        <f t="shared" si="4"/>
        <v>95640</v>
      </c>
      <c r="H141" s="15">
        <v>8.3</v>
      </c>
      <c r="I141" s="15">
        <v>42.6</v>
      </c>
      <c r="J141" s="14">
        <v>23248</v>
      </c>
      <c r="K141" s="14">
        <v>145106</v>
      </c>
      <c r="L141" s="13">
        <v>50214</v>
      </c>
      <c r="M141" s="13">
        <v>50630</v>
      </c>
      <c r="N141" s="13">
        <v>106324</v>
      </c>
      <c r="O141" s="13">
        <v>113999</v>
      </c>
      <c r="P141" s="13">
        <v>5054</v>
      </c>
      <c r="Q141" s="13">
        <v>6011</v>
      </c>
      <c r="R141" s="9">
        <f t="shared" si="5"/>
        <v>332232</v>
      </c>
    </row>
    <row r="142" spans="1:18">
      <c r="A142" s="6" t="s">
        <v>154</v>
      </c>
      <c r="B142" s="16" t="s">
        <v>168</v>
      </c>
      <c r="C142" s="6" t="s">
        <v>20</v>
      </c>
      <c r="D142" s="7">
        <v>5.669162</v>
      </c>
      <c r="E142" s="7">
        <v>-0.333376</v>
      </c>
      <c r="F142" s="14">
        <v>110684</v>
      </c>
      <c r="G142" s="8">
        <f t="shared" si="4"/>
        <v>92554</v>
      </c>
      <c r="H142" s="15">
        <v>10.1</v>
      </c>
      <c r="I142" s="15">
        <v>41.8</v>
      </c>
      <c r="J142" s="14">
        <v>18905</v>
      </c>
      <c r="K142" s="14">
        <v>105771</v>
      </c>
      <c r="L142" s="13">
        <v>39761</v>
      </c>
      <c r="M142" s="13">
        <v>40380</v>
      </c>
      <c r="N142" s="13">
        <v>96002</v>
      </c>
      <c r="O142" s="13">
        <v>97660</v>
      </c>
      <c r="P142" s="13">
        <v>4252</v>
      </c>
      <c r="Q142" s="13">
        <v>5324</v>
      </c>
      <c r="R142" s="9">
        <f t="shared" si="5"/>
        <v>283379</v>
      </c>
    </row>
    <row r="143" spans="1:18">
      <c r="A143" s="6" t="s">
        <v>154</v>
      </c>
      <c r="B143" s="16" t="s">
        <v>169</v>
      </c>
      <c r="C143" s="6" t="s">
        <v>20</v>
      </c>
      <c r="D143" s="7">
        <v>5.669162</v>
      </c>
      <c r="E143" s="7">
        <v>-0.333376</v>
      </c>
      <c r="F143" s="14">
        <v>87022</v>
      </c>
      <c r="G143" s="8">
        <f t="shared" si="4"/>
        <v>76640</v>
      </c>
      <c r="H143" s="15">
        <v>10.5</v>
      </c>
      <c r="I143" s="15">
        <v>42.3</v>
      </c>
      <c r="J143" s="14">
        <v>18918</v>
      </c>
      <c r="K143" s="14">
        <v>86352</v>
      </c>
      <c r="L143" s="13">
        <v>35527</v>
      </c>
      <c r="M143" s="13">
        <v>36103</v>
      </c>
      <c r="N143" s="13">
        <v>77522</v>
      </c>
      <c r="O143" s="13">
        <v>79032</v>
      </c>
      <c r="P143" s="13">
        <v>3432</v>
      </c>
      <c r="Q143" s="13">
        <v>3676</v>
      </c>
      <c r="R143" s="9">
        <f t="shared" si="5"/>
        <v>235292</v>
      </c>
    </row>
    <row r="144" spans="1:18">
      <c r="A144" s="6" t="s">
        <v>154</v>
      </c>
      <c r="B144" s="16" t="s">
        <v>170</v>
      </c>
      <c r="C144" s="6" t="s">
        <v>20</v>
      </c>
      <c r="D144" s="7">
        <v>5.669162</v>
      </c>
      <c r="E144" s="7">
        <v>-0.333376</v>
      </c>
      <c r="F144" s="14">
        <v>125103</v>
      </c>
      <c r="G144" s="8">
        <f t="shared" si="4"/>
        <v>103262</v>
      </c>
      <c r="H144" s="15">
        <v>15.8</v>
      </c>
      <c r="I144" s="15">
        <v>44.1</v>
      </c>
      <c r="J144" s="14">
        <v>49991</v>
      </c>
      <c r="K144" s="14">
        <v>179053</v>
      </c>
      <c r="L144" s="13">
        <v>61267</v>
      </c>
      <c r="M144" s="13">
        <v>60489</v>
      </c>
      <c r="N144" s="13">
        <v>107044</v>
      </c>
      <c r="O144" s="13">
        <v>111736</v>
      </c>
      <c r="P144" s="13">
        <v>4181</v>
      </c>
      <c r="Q144" s="13">
        <v>5404</v>
      </c>
      <c r="R144" s="9">
        <f t="shared" si="5"/>
        <v>350121</v>
      </c>
    </row>
    <row r="145" s="5" customFormat="1" spans="1:18">
      <c r="A145" s="6" t="s">
        <v>154</v>
      </c>
      <c r="B145" s="16" t="s">
        <v>171</v>
      </c>
      <c r="C145" s="6" t="s">
        <v>20</v>
      </c>
      <c r="D145" s="7">
        <v>5.669162</v>
      </c>
      <c r="E145" s="7">
        <v>-0.333376</v>
      </c>
      <c r="F145" s="14">
        <v>110786</v>
      </c>
      <c r="G145" s="8">
        <f t="shared" si="4"/>
        <v>92906</v>
      </c>
      <c r="H145" s="15">
        <v>10.5</v>
      </c>
      <c r="I145" s="15">
        <v>43.3</v>
      </c>
      <c r="J145" s="14">
        <v>35609</v>
      </c>
      <c r="K145" s="14">
        <v>123514</v>
      </c>
      <c r="L145" s="13">
        <v>55150</v>
      </c>
      <c r="M145" s="13">
        <v>55457</v>
      </c>
      <c r="N145" s="13">
        <v>97011</v>
      </c>
      <c r="O145" s="13">
        <v>99245</v>
      </c>
      <c r="P145" s="13">
        <v>3382</v>
      </c>
      <c r="Q145" s="13">
        <v>4054</v>
      </c>
      <c r="R145" s="9">
        <f t="shared" si="5"/>
        <v>314299</v>
      </c>
    </row>
    <row r="146" s="5" customFormat="1" spans="1:18">
      <c r="A146" s="6" t="s">
        <v>154</v>
      </c>
      <c r="B146" s="16" t="s">
        <v>172</v>
      </c>
      <c r="C146" s="6" t="s">
        <v>20</v>
      </c>
      <c r="D146" s="7">
        <v>5.55901944999999</v>
      </c>
      <c r="E146" s="7">
        <v>-0.19823054970895</v>
      </c>
      <c r="F146" s="14">
        <v>29874</v>
      </c>
      <c r="G146" s="8">
        <f t="shared" si="4"/>
        <v>23696</v>
      </c>
      <c r="H146" s="15">
        <v>10.6</v>
      </c>
      <c r="I146" s="15">
        <v>43.4</v>
      </c>
      <c r="J146" s="14">
        <v>6313</v>
      </c>
      <c r="K146" s="14">
        <v>23554</v>
      </c>
      <c r="L146" s="13">
        <v>7480</v>
      </c>
      <c r="M146" s="13">
        <v>7583</v>
      </c>
      <c r="N146" s="13">
        <v>24034</v>
      </c>
      <c r="O146" s="13">
        <v>25651</v>
      </c>
      <c r="P146" s="13">
        <v>1594</v>
      </c>
      <c r="Q146" s="13">
        <v>2291</v>
      </c>
      <c r="R146" s="9">
        <f t="shared" si="5"/>
        <v>68633</v>
      </c>
    </row>
    <row r="147" s="5" customFormat="1" spans="1:18">
      <c r="A147" s="6" t="s">
        <v>154</v>
      </c>
      <c r="B147" s="16" t="s">
        <v>173</v>
      </c>
      <c r="C147" s="6" t="s">
        <v>20</v>
      </c>
      <c r="D147" s="7">
        <v>5.77159775</v>
      </c>
      <c r="E147" s="7">
        <v>-0.0733651054089466</v>
      </c>
      <c r="F147" s="14">
        <v>151899</v>
      </c>
      <c r="G147" s="8">
        <f t="shared" si="4"/>
        <v>121007</v>
      </c>
      <c r="H147" s="15">
        <v>10.5</v>
      </c>
      <c r="I147" s="15">
        <v>43.1</v>
      </c>
      <c r="J147" s="14">
        <v>38226</v>
      </c>
      <c r="K147" s="14">
        <v>156281</v>
      </c>
      <c r="L147" s="13">
        <v>69740</v>
      </c>
      <c r="M147" s="13">
        <v>70182</v>
      </c>
      <c r="N147" s="13">
        <v>132130</v>
      </c>
      <c r="O147" s="13">
        <v>132218</v>
      </c>
      <c r="P147" s="13">
        <v>3852</v>
      </c>
      <c r="Q147" s="13">
        <v>4706</v>
      </c>
      <c r="R147" s="9">
        <f t="shared" si="5"/>
        <v>412828</v>
      </c>
    </row>
    <row r="148" s="5" customFormat="1" spans="1:18">
      <c r="A148" s="6" t="s">
        <v>154</v>
      </c>
      <c r="B148" s="16" t="s">
        <v>174</v>
      </c>
      <c r="C148" s="6" t="s">
        <v>20</v>
      </c>
      <c r="D148" s="7">
        <v>5.60941925</v>
      </c>
      <c r="E148" s="7">
        <v>-0.0769277820845922</v>
      </c>
      <c r="F148" s="14">
        <v>54725</v>
      </c>
      <c r="G148" s="8">
        <f t="shared" si="4"/>
        <v>50079</v>
      </c>
      <c r="H148" s="15">
        <v>12.4</v>
      </c>
      <c r="I148" s="15">
        <v>42.4</v>
      </c>
      <c r="J148" s="14">
        <v>10206</v>
      </c>
      <c r="K148" s="14">
        <v>61701</v>
      </c>
      <c r="L148" s="13">
        <v>18895</v>
      </c>
      <c r="M148" s="13">
        <v>19313</v>
      </c>
      <c r="N148" s="13">
        <v>49619</v>
      </c>
      <c r="O148" s="13">
        <v>50062</v>
      </c>
      <c r="P148" s="13">
        <v>2221</v>
      </c>
      <c r="Q148" s="13">
        <v>2902</v>
      </c>
      <c r="R148" s="9">
        <f t="shared" si="5"/>
        <v>143012</v>
      </c>
    </row>
    <row r="149" s="5" customFormat="1" spans="1:18">
      <c r="A149" s="6" t="s">
        <v>154</v>
      </c>
      <c r="B149" s="16" t="s">
        <v>175</v>
      </c>
      <c r="C149" s="6" t="s">
        <v>20</v>
      </c>
      <c r="D149" s="7">
        <v>5.58947605</v>
      </c>
      <c r="E149" s="7">
        <v>-0.156988356399583</v>
      </c>
      <c r="F149" s="14">
        <v>59055</v>
      </c>
      <c r="G149" s="8">
        <f t="shared" si="4"/>
        <v>43079</v>
      </c>
      <c r="H149" s="15">
        <v>8.9</v>
      </c>
      <c r="I149" s="15">
        <v>43.1</v>
      </c>
      <c r="J149" s="14">
        <v>7669</v>
      </c>
      <c r="K149" s="14">
        <v>51992</v>
      </c>
      <c r="L149" s="13">
        <v>19006</v>
      </c>
      <c r="M149" s="13">
        <v>19124</v>
      </c>
      <c r="N149" s="13">
        <v>46798</v>
      </c>
      <c r="O149" s="13">
        <v>49510</v>
      </c>
      <c r="P149" s="13">
        <v>2295</v>
      </c>
      <c r="Q149" s="13">
        <v>3531</v>
      </c>
      <c r="R149" s="9">
        <f t="shared" si="5"/>
        <v>140264</v>
      </c>
    </row>
    <row r="150" spans="1:18">
      <c r="A150" s="6" t="s">
        <v>154</v>
      </c>
      <c r="B150" s="16" t="s">
        <v>176</v>
      </c>
      <c r="C150" s="6" t="s">
        <v>20</v>
      </c>
      <c r="D150" s="7">
        <v>5.74468145</v>
      </c>
      <c r="E150" s="7">
        <v>-0.172508699400876</v>
      </c>
      <c r="F150" s="14">
        <v>83831</v>
      </c>
      <c r="G150" s="8">
        <f t="shared" si="4"/>
        <v>74454</v>
      </c>
      <c r="H150" s="15">
        <v>11.3</v>
      </c>
      <c r="I150" s="15">
        <v>42.7</v>
      </c>
      <c r="J150" s="14">
        <v>17028</v>
      </c>
      <c r="K150" s="14">
        <v>77868</v>
      </c>
      <c r="L150" s="13">
        <v>31134</v>
      </c>
      <c r="M150" s="13">
        <v>31338</v>
      </c>
      <c r="N150" s="13">
        <v>74729</v>
      </c>
      <c r="O150" s="13">
        <v>76189</v>
      </c>
      <c r="P150" s="13">
        <v>3177</v>
      </c>
      <c r="Q150" s="13">
        <v>4190</v>
      </c>
      <c r="R150" s="9">
        <f t="shared" si="5"/>
        <v>220757</v>
      </c>
    </row>
    <row r="151" spans="1:18">
      <c r="A151" s="6" t="s">
        <v>154</v>
      </c>
      <c r="B151" s="16" t="s">
        <v>177</v>
      </c>
      <c r="C151" s="6" t="s">
        <v>20</v>
      </c>
      <c r="D151" s="7">
        <v>5.6050983</v>
      </c>
      <c r="E151" s="7">
        <v>-0.114493361214251</v>
      </c>
      <c r="F151" s="14">
        <v>84358</v>
      </c>
      <c r="G151" s="8">
        <f t="shared" si="4"/>
        <v>72808</v>
      </c>
      <c r="H151" s="15">
        <v>11.3</v>
      </c>
      <c r="I151" s="15">
        <v>43.3</v>
      </c>
      <c r="J151" s="14">
        <v>18575</v>
      </c>
      <c r="K151" s="14">
        <v>82055</v>
      </c>
      <c r="L151" s="13">
        <v>29909</v>
      </c>
      <c r="M151" s="13">
        <v>30229</v>
      </c>
      <c r="N151" s="13">
        <v>72722</v>
      </c>
      <c r="O151" s="13">
        <v>76060</v>
      </c>
      <c r="P151" s="13">
        <v>3468</v>
      </c>
      <c r="Q151" s="13">
        <v>4916</v>
      </c>
      <c r="R151" s="9">
        <f t="shared" si="5"/>
        <v>217304</v>
      </c>
    </row>
    <row r="152" spans="1:18">
      <c r="A152" s="6" t="s">
        <v>154</v>
      </c>
      <c r="B152" s="16" t="s">
        <v>178</v>
      </c>
      <c r="C152" s="6" t="s">
        <v>20</v>
      </c>
      <c r="D152" s="7">
        <v>5.81176965</v>
      </c>
      <c r="E152" s="7">
        <v>0.146110955005239</v>
      </c>
      <c r="F152" s="14">
        <v>71636</v>
      </c>
      <c r="G152" s="8">
        <f t="shared" si="4"/>
        <v>62214</v>
      </c>
      <c r="H152" s="15">
        <v>19.4</v>
      </c>
      <c r="I152" s="15">
        <v>44</v>
      </c>
      <c r="J152" s="14">
        <v>35619</v>
      </c>
      <c r="K152" s="14">
        <v>92454</v>
      </c>
      <c r="L152" s="13">
        <v>35324</v>
      </c>
      <c r="M152" s="13">
        <v>35499</v>
      </c>
      <c r="N152" s="13">
        <v>64008</v>
      </c>
      <c r="O152" s="13">
        <v>63476</v>
      </c>
      <c r="P152" s="13">
        <v>2539</v>
      </c>
      <c r="Q152" s="13">
        <v>3827</v>
      </c>
      <c r="R152" s="9">
        <f t="shared" si="5"/>
        <v>204673</v>
      </c>
    </row>
    <row r="153" spans="1:18">
      <c r="A153" s="6" t="s">
        <v>154</v>
      </c>
      <c r="B153" s="16" t="s">
        <v>179</v>
      </c>
      <c r="C153" s="6" t="s">
        <v>20</v>
      </c>
      <c r="D153" s="7">
        <v>5.6104365</v>
      </c>
      <c r="E153" s="7">
        <v>-0.2395459</v>
      </c>
      <c r="F153" s="14">
        <v>63259</v>
      </c>
      <c r="G153" s="8">
        <f t="shared" si="4"/>
        <v>54414</v>
      </c>
      <c r="H153" s="15">
        <v>11.1</v>
      </c>
      <c r="I153" s="15">
        <v>42.4</v>
      </c>
      <c r="J153" s="14">
        <v>12770</v>
      </c>
      <c r="K153" s="14">
        <v>54359</v>
      </c>
      <c r="L153" s="13">
        <v>21231</v>
      </c>
      <c r="M153" s="13">
        <v>21542</v>
      </c>
      <c r="N153" s="13">
        <v>54554</v>
      </c>
      <c r="O153" s="13">
        <v>56884</v>
      </c>
      <c r="P153" s="13">
        <v>2636</v>
      </c>
      <c r="Q153" s="13">
        <v>3599</v>
      </c>
      <c r="R153" s="9">
        <f t="shared" si="5"/>
        <v>160446</v>
      </c>
    </row>
    <row r="154" spans="1:18">
      <c r="A154" s="6" t="s">
        <v>154</v>
      </c>
      <c r="B154" s="16" t="s">
        <v>180</v>
      </c>
      <c r="C154" s="6" t="s">
        <v>22</v>
      </c>
      <c r="D154" s="7">
        <v>5.95875335</v>
      </c>
      <c r="E154" s="7">
        <v>0.161872328401567</v>
      </c>
      <c r="F154" s="14">
        <v>33556</v>
      </c>
      <c r="G154" s="8">
        <f t="shared" si="4"/>
        <v>35351</v>
      </c>
      <c r="H154" s="15">
        <v>23.5</v>
      </c>
      <c r="I154" s="15">
        <v>44.2</v>
      </c>
      <c r="J154" s="14">
        <v>22754</v>
      </c>
      <c r="K154" s="14">
        <v>30351</v>
      </c>
      <c r="L154" s="13">
        <v>18546</v>
      </c>
      <c r="M154" s="13">
        <v>18157</v>
      </c>
      <c r="N154" s="13">
        <v>32871</v>
      </c>
      <c r="O154" s="13">
        <v>31732</v>
      </c>
      <c r="P154" s="13">
        <v>1719</v>
      </c>
      <c r="Q154" s="13">
        <v>2585</v>
      </c>
      <c r="R154" s="9">
        <f t="shared" si="5"/>
        <v>105610</v>
      </c>
    </row>
    <row r="155" s="2" customFormat="1" spans="1:18">
      <c r="A155" s="17" t="s">
        <v>154</v>
      </c>
      <c r="B155" s="18" t="s">
        <v>181</v>
      </c>
      <c r="C155" s="17" t="s">
        <v>56</v>
      </c>
      <c r="D155" s="19">
        <v>5.6698</v>
      </c>
      <c r="E155" s="7">
        <v>-0.01657</v>
      </c>
      <c r="F155" s="20">
        <v>69392</v>
      </c>
      <c r="G155" s="21">
        <f t="shared" si="4"/>
        <v>55541</v>
      </c>
      <c r="H155" s="22">
        <v>11.6</v>
      </c>
      <c r="I155" s="22">
        <v>43.8</v>
      </c>
      <c r="J155" s="20">
        <v>19800</v>
      </c>
      <c r="K155" s="20">
        <v>78852</v>
      </c>
      <c r="L155" s="23">
        <v>24565</v>
      </c>
      <c r="M155" s="23">
        <v>24996</v>
      </c>
      <c r="N155" s="23">
        <v>59728</v>
      </c>
      <c r="O155" s="23">
        <v>60769</v>
      </c>
      <c r="P155" s="23">
        <v>1794</v>
      </c>
      <c r="Q155" s="23">
        <v>2642</v>
      </c>
      <c r="R155" s="25">
        <f t="shared" si="5"/>
        <v>174494</v>
      </c>
    </row>
    <row r="156" spans="1:18">
      <c r="A156" s="6" t="s">
        <v>154</v>
      </c>
      <c r="B156" s="16" t="s">
        <v>182</v>
      </c>
      <c r="C156" s="6" t="s">
        <v>20</v>
      </c>
      <c r="D156" s="7">
        <v>5.65076355</v>
      </c>
      <c r="E156" s="7">
        <v>-0.0688760444019398</v>
      </c>
      <c r="F156" s="14">
        <v>81595</v>
      </c>
      <c r="G156" s="8">
        <f t="shared" si="4"/>
        <v>60403</v>
      </c>
      <c r="H156" s="15">
        <v>8.2</v>
      </c>
      <c r="I156" s="15">
        <v>42</v>
      </c>
      <c r="J156" s="14">
        <v>10773</v>
      </c>
      <c r="K156" s="14">
        <v>76946</v>
      </c>
      <c r="L156" s="13">
        <v>27080</v>
      </c>
      <c r="M156" s="13">
        <v>27146</v>
      </c>
      <c r="N156" s="13">
        <v>66160</v>
      </c>
      <c r="O156" s="13">
        <v>67893</v>
      </c>
      <c r="P156" s="13">
        <v>3606</v>
      </c>
      <c r="Q156" s="13">
        <v>4339</v>
      </c>
      <c r="R156" s="9">
        <f t="shared" si="5"/>
        <v>196224</v>
      </c>
    </row>
    <row r="157" spans="1:18">
      <c r="A157" s="6" t="s">
        <v>154</v>
      </c>
      <c r="B157" s="16" t="s">
        <v>183</v>
      </c>
      <c r="C157" s="6" t="s">
        <v>20</v>
      </c>
      <c r="D157" s="7">
        <v>5.55414475</v>
      </c>
      <c r="E157" s="7">
        <v>-0.296466750643799</v>
      </c>
      <c r="F157" s="14">
        <v>85093</v>
      </c>
      <c r="G157" s="8">
        <f t="shared" si="4"/>
        <v>61436</v>
      </c>
      <c r="H157" s="15">
        <v>8.7</v>
      </c>
      <c r="I157" s="15">
        <v>42.9</v>
      </c>
      <c r="J157" s="14">
        <v>16714</v>
      </c>
      <c r="K157" s="14">
        <v>84797</v>
      </c>
      <c r="L157" s="13">
        <v>33744</v>
      </c>
      <c r="M157" s="13">
        <v>33401</v>
      </c>
      <c r="N157" s="13">
        <v>68119</v>
      </c>
      <c r="O157" s="13">
        <v>71627</v>
      </c>
      <c r="P157" s="13">
        <v>3047</v>
      </c>
      <c r="Q157" s="13">
        <v>3736</v>
      </c>
      <c r="R157" s="9">
        <f t="shared" si="5"/>
        <v>213674</v>
      </c>
    </row>
    <row r="158" spans="1:18">
      <c r="A158" s="6" t="s">
        <v>184</v>
      </c>
      <c r="B158" s="35" t="s">
        <v>185</v>
      </c>
      <c r="C158" s="6" t="s">
        <v>22</v>
      </c>
      <c r="D158" s="7">
        <v>10.632198</v>
      </c>
      <c r="E158" s="7">
        <v>-0.180118</v>
      </c>
      <c r="F158" s="14">
        <v>16889</v>
      </c>
      <c r="G158" s="8">
        <f t="shared" si="4"/>
        <v>34450</v>
      </c>
      <c r="H158" s="15">
        <v>38.3</v>
      </c>
      <c r="I158" s="15">
        <v>45.5</v>
      </c>
      <c r="J158" s="14">
        <v>31770</v>
      </c>
      <c r="K158" s="14">
        <v>8825</v>
      </c>
      <c r="L158" s="13">
        <v>15560</v>
      </c>
      <c r="M158" s="13">
        <v>15485</v>
      </c>
      <c r="N158" s="13">
        <v>23265</v>
      </c>
      <c r="O158" s="13">
        <v>23614</v>
      </c>
      <c r="P158" s="13">
        <v>1579</v>
      </c>
      <c r="Q158" s="13">
        <v>2881</v>
      </c>
      <c r="R158" s="9">
        <f t="shared" si="5"/>
        <v>82384</v>
      </c>
    </row>
    <row r="159" spans="1:18">
      <c r="A159" s="6" t="s">
        <v>184</v>
      </c>
      <c r="B159" s="35" t="s">
        <v>186</v>
      </c>
      <c r="C159" s="6" t="s">
        <v>22</v>
      </c>
      <c r="D159" s="7">
        <v>10.1792653999999</v>
      </c>
      <c r="E159" s="7">
        <v>0.207987165887793</v>
      </c>
      <c r="F159" s="14">
        <v>18122</v>
      </c>
      <c r="G159" s="8">
        <f t="shared" si="4"/>
        <v>27082</v>
      </c>
      <c r="H159" s="15">
        <v>53.8</v>
      </c>
      <c r="I159" s="15">
        <v>44.2</v>
      </c>
      <c r="J159" s="14">
        <v>49085</v>
      </c>
      <c r="K159" s="14">
        <v>32497</v>
      </c>
      <c r="L159" s="13">
        <v>21399</v>
      </c>
      <c r="M159" s="13">
        <v>20573</v>
      </c>
      <c r="N159" s="13">
        <v>20495</v>
      </c>
      <c r="O159" s="13">
        <v>22457</v>
      </c>
      <c r="P159" s="13">
        <v>940</v>
      </c>
      <c r="Q159" s="13">
        <v>1312</v>
      </c>
      <c r="R159" s="9">
        <f t="shared" si="5"/>
        <v>87176</v>
      </c>
    </row>
    <row r="160" spans="1:18">
      <c r="A160" s="6" t="s">
        <v>184</v>
      </c>
      <c r="B160" s="35" t="s">
        <v>187</v>
      </c>
      <c r="C160" s="6" t="s">
        <v>20</v>
      </c>
      <c r="D160" s="7">
        <v>10.45279035</v>
      </c>
      <c r="E160" s="7">
        <v>-0.416678651029704</v>
      </c>
      <c r="F160" s="14">
        <v>27208</v>
      </c>
      <c r="G160" s="8">
        <f t="shared" si="4"/>
        <v>74804</v>
      </c>
      <c r="H160" s="15">
        <v>54.7</v>
      </c>
      <c r="I160" s="15">
        <v>47.4</v>
      </c>
      <c r="J160" s="14">
        <v>98293</v>
      </c>
      <c r="K160" s="14">
        <v>31628</v>
      </c>
      <c r="L160" s="13">
        <v>44042</v>
      </c>
      <c r="M160" s="13">
        <v>41952</v>
      </c>
      <c r="N160" s="13">
        <v>44297</v>
      </c>
      <c r="O160" s="13">
        <v>50910</v>
      </c>
      <c r="P160" s="13">
        <v>2780</v>
      </c>
      <c r="Q160" s="13">
        <v>4025</v>
      </c>
      <c r="R160" s="9">
        <f t="shared" si="5"/>
        <v>188006</v>
      </c>
    </row>
    <row r="161" spans="1:18">
      <c r="A161" s="6" t="s">
        <v>184</v>
      </c>
      <c r="B161" s="35" t="s">
        <v>188</v>
      </c>
      <c r="C161" s="6" t="s">
        <v>22</v>
      </c>
      <c r="D161" s="7">
        <v>10.23964</v>
      </c>
      <c r="E161" s="7">
        <v>-1.27428</v>
      </c>
      <c r="F161" s="14">
        <v>21572</v>
      </c>
      <c r="G161" s="8">
        <f t="shared" si="4"/>
        <v>15425</v>
      </c>
      <c r="H161" s="15">
        <v>44.5</v>
      </c>
      <c r="I161" s="15">
        <v>42.4</v>
      </c>
      <c r="J161" s="14">
        <v>40473</v>
      </c>
      <c r="K161" s="14">
        <v>43003</v>
      </c>
      <c r="L161" s="13">
        <v>16277</v>
      </c>
      <c r="M161" s="13">
        <v>15472</v>
      </c>
      <c r="N161" s="13">
        <v>16808</v>
      </c>
      <c r="O161" s="13">
        <v>17970</v>
      </c>
      <c r="P161" s="13">
        <v>968</v>
      </c>
      <c r="Q161" s="13">
        <v>1251</v>
      </c>
      <c r="R161" s="9">
        <f t="shared" si="5"/>
        <v>68746</v>
      </c>
    </row>
    <row r="162" spans="1:18">
      <c r="A162" s="6" t="s">
        <v>184</v>
      </c>
      <c r="B162" s="35" t="s">
        <v>189</v>
      </c>
      <c r="C162" s="6" t="s">
        <v>20</v>
      </c>
      <c r="D162" s="7">
        <v>10.29738455</v>
      </c>
      <c r="E162" s="7">
        <v>-0.764055036110824</v>
      </c>
      <c r="F162" s="14">
        <v>31319</v>
      </c>
      <c r="G162" s="8">
        <f t="shared" si="4"/>
        <v>66367</v>
      </c>
      <c r="H162" s="15">
        <v>41.5</v>
      </c>
      <c r="I162" s="15">
        <v>45.8</v>
      </c>
      <c r="J162" s="14">
        <v>82262</v>
      </c>
      <c r="K162" s="14">
        <v>26996</v>
      </c>
      <c r="L162" s="13">
        <v>39813</v>
      </c>
      <c r="M162" s="13">
        <v>38256</v>
      </c>
      <c r="N162" s="13">
        <v>43613</v>
      </c>
      <c r="O162" s="13">
        <v>48368</v>
      </c>
      <c r="P162" s="13">
        <v>2286</v>
      </c>
      <c r="Q162" s="13">
        <v>3419</v>
      </c>
      <c r="R162" s="9">
        <f t="shared" si="5"/>
        <v>175755</v>
      </c>
    </row>
    <row r="163" spans="1:18">
      <c r="A163" s="6" t="s">
        <v>184</v>
      </c>
      <c r="B163" s="35" t="s">
        <v>190</v>
      </c>
      <c r="C163" s="6" t="s">
        <v>22</v>
      </c>
      <c r="D163" s="7">
        <v>10.4415225</v>
      </c>
      <c r="E163" s="7">
        <v>-0.0276844142154081</v>
      </c>
      <c r="F163" s="14">
        <v>10414</v>
      </c>
      <c r="G163" s="8">
        <f t="shared" si="4"/>
        <v>18846</v>
      </c>
      <c r="H163" s="15">
        <v>56.9</v>
      </c>
      <c r="I163" s="15">
        <v>47</v>
      </c>
      <c r="J163" s="14">
        <v>32999</v>
      </c>
      <c r="K163" s="14">
        <v>18812</v>
      </c>
      <c r="L163" s="13">
        <v>14196</v>
      </c>
      <c r="M163" s="13">
        <v>13423</v>
      </c>
      <c r="N163" s="13">
        <v>12891</v>
      </c>
      <c r="O163" s="13">
        <v>13990</v>
      </c>
      <c r="P163" s="13">
        <v>940</v>
      </c>
      <c r="Q163" s="13">
        <v>1439</v>
      </c>
      <c r="R163" s="9">
        <f t="shared" si="5"/>
        <v>56879</v>
      </c>
    </row>
    <row r="164" spans="1:18">
      <c r="A164" s="6" t="s">
        <v>191</v>
      </c>
      <c r="B164" s="35" t="s">
        <v>192</v>
      </c>
      <c r="C164" s="6" t="s">
        <v>20</v>
      </c>
      <c r="D164" s="7">
        <v>9.9185016</v>
      </c>
      <c r="E164" s="7">
        <v>-0.2164706</v>
      </c>
      <c r="F164" s="14">
        <v>36081</v>
      </c>
      <c r="G164" s="8">
        <f t="shared" si="4"/>
        <v>41484</v>
      </c>
      <c r="H164" s="15">
        <v>51.5</v>
      </c>
      <c r="I164" s="15">
        <v>44.3</v>
      </c>
      <c r="J164" s="14">
        <v>92056</v>
      </c>
      <c r="K164" s="14">
        <v>74095</v>
      </c>
      <c r="L164" s="13">
        <v>39252</v>
      </c>
      <c r="M164" s="13">
        <v>37148</v>
      </c>
      <c r="N164" s="13">
        <v>34170</v>
      </c>
      <c r="O164" s="13">
        <v>39410</v>
      </c>
      <c r="P164" s="13">
        <v>1939</v>
      </c>
      <c r="Q164" s="13">
        <v>2046</v>
      </c>
      <c r="R164" s="9">
        <f t="shared" si="5"/>
        <v>153965</v>
      </c>
    </row>
    <row r="165" spans="1:18">
      <c r="A165" s="6" t="s">
        <v>191</v>
      </c>
      <c r="B165" s="35" t="s">
        <v>193</v>
      </c>
      <c r="C165" s="6" t="s">
        <v>22</v>
      </c>
      <c r="D165" s="7">
        <v>9.9267799</v>
      </c>
      <c r="E165" s="7">
        <v>-0.4316607</v>
      </c>
      <c r="F165" s="14">
        <v>25654</v>
      </c>
      <c r="G165" s="8">
        <f t="shared" si="4"/>
        <v>34057</v>
      </c>
      <c r="H165" s="15">
        <v>50.5</v>
      </c>
      <c r="I165" s="15">
        <v>46.5</v>
      </c>
      <c r="J165" s="14">
        <v>69495</v>
      </c>
      <c r="K165" s="14">
        <v>50110</v>
      </c>
      <c r="L165" s="13">
        <v>28047</v>
      </c>
      <c r="M165" s="13">
        <v>26467</v>
      </c>
      <c r="N165" s="13">
        <v>25893</v>
      </c>
      <c r="O165" s="13">
        <v>30391</v>
      </c>
      <c r="P165" s="13">
        <v>1737</v>
      </c>
      <c r="Q165" s="13">
        <v>1690</v>
      </c>
      <c r="R165" s="9">
        <f t="shared" si="5"/>
        <v>114225</v>
      </c>
    </row>
    <row r="166" spans="1:18">
      <c r="A166" s="6" t="s">
        <v>191</v>
      </c>
      <c r="B166" s="35" t="s">
        <v>194</v>
      </c>
      <c r="C166" s="6" t="s">
        <v>22</v>
      </c>
      <c r="D166" s="7">
        <v>8.4635789</v>
      </c>
      <c r="E166" s="7">
        <v>-0.0119853</v>
      </c>
      <c r="F166" s="14">
        <v>41265</v>
      </c>
      <c r="G166" s="8">
        <f t="shared" si="4"/>
        <v>29199</v>
      </c>
      <c r="H166" s="15">
        <v>48.6</v>
      </c>
      <c r="I166" s="15">
        <v>42.1</v>
      </c>
      <c r="J166" s="14">
        <v>64398</v>
      </c>
      <c r="K166" s="14">
        <v>67683</v>
      </c>
      <c r="L166" s="13">
        <v>28295</v>
      </c>
      <c r="M166" s="13">
        <v>27454</v>
      </c>
      <c r="N166" s="13">
        <v>32983</v>
      </c>
      <c r="O166" s="13">
        <v>33691</v>
      </c>
      <c r="P166" s="13">
        <v>1603</v>
      </c>
      <c r="Q166" s="13">
        <v>2187</v>
      </c>
      <c r="R166" s="9">
        <f t="shared" si="5"/>
        <v>126213</v>
      </c>
    </row>
    <row r="167" spans="1:18">
      <c r="A167" s="6" t="s">
        <v>191</v>
      </c>
      <c r="B167" s="35" t="s">
        <v>195</v>
      </c>
      <c r="C167" s="6" t="s">
        <v>22</v>
      </c>
      <c r="D167" s="7">
        <v>9.5591282</v>
      </c>
      <c r="E167" s="7">
        <v>-0.9467086</v>
      </c>
      <c r="F167" s="14">
        <v>20044</v>
      </c>
      <c r="G167" s="8">
        <f t="shared" si="4"/>
        <v>40208</v>
      </c>
      <c r="H167" s="15">
        <v>45</v>
      </c>
      <c r="I167" s="15">
        <v>46.4</v>
      </c>
      <c r="J167" s="14">
        <v>56077</v>
      </c>
      <c r="K167" s="14">
        <v>39469</v>
      </c>
      <c r="L167" s="13">
        <v>26246</v>
      </c>
      <c r="M167" s="13">
        <v>24088</v>
      </c>
      <c r="N167" s="13">
        <v>26963</v>
      </c>
      <c r="O167" s="13">
        <v>28760</v>
      </c>
      <c r="P167" s="13">
        <v>2082</v>
      </c>
      <c r="Q167" s="13">
        <v>2447</v>
      </c>
      <c r="R167" s="9">
        <f t="shared" si="5"/>
        <v>110586</v>
      </c>
    </row>
    <row r="168" spans="1:18">
      <c r="A168" s="6" t="s">
        <v>191</v>
      </c>
      <c r="B168" s="35" t="s">
        <v>196</v>
      </c>
      <c r="C168" s="6" t="s">
        <v>22</v>
      </c>
      <c r="D168" s="7">
        <v>9.45284905</v>
      </c>
      <c r="E168" s="7">
        <v>-0.335525511842833</v>
      </c>
      <c r="F168" s="14">
        <v>23875</v>
      </c>
      <c r="G168" s="8">
        <f t="shared" si="4"/>
        <v>26064</v>
      </c>
      <c r="H168" s="15">
        <v>53.4</v>
      </c>
      <c r="I168" s="15">
        <v>44.5</v>
      </c>
      <c r="J168" s="14">
        <v>57646</v>
      </c>
      <c r="K168" s="14">
        <v>40227</v>
      </c>
      <c r="L168" s="13">
        <v>23000</v>
      </c>
      <c r="M168" s="13">
        <v>21991</v>
      </c>
      <c r="N168" s="13">
        <v>22749</v>
      </c>
      <c r="O168" s="13">
        <v>24286</v>
      </c>
      <c r="P168" s="13">
        <v>1413</v>
      </c>
      <c r="Q168" s="13">
        <v>1491</v>
      </c>
      <c r="R168" s="9">
        <f t="shared" si="5"/>
        <v>94930</v>
      </c>
    </row>
    <row r="169" spans="1:18">
      <c r="A169" s="6" t="s">
        <v>191</v>
      </c>
      <c r="B169" s="35" t="s">
        <v>197</v>
      </c>
      <c r="C169" s="6" t="s">
        <v>22</v>
      </c>
      <c r="D169" s="7">
        <v>9.55848269999999</v>
      </c>
      <c r="E169" s="7">
        <v>-0.710728600167338</v>
      </c>
      <c r="F169" s="14">
        <v>12168</v>
      </c>
      <c r="G169" s="8">
        <f t="shared" si="4"/>
        <v>15048</v>
      </c>
      <c r="H169" s="15">
        <v>39.9</v>
      </c>
      <c r="I169" s="15">
        <v>45.3</v>
      </c>
      <c r="J169" s="14">
        <v>27942</v>
      </c>
      <c r="K169" s="14">
        <v>19692</v>
      </c>
      <c r="L169" s="13">
        <v>12316</v>
      </c>
      <c r="M169" s="13">
        <v>11235</v>
      </c>
      <c r="N169" s="13">
        <v>12111</v>
      </c>
      <c r="O169" s="13">
        <v>13374</v>
      </c>
      <c r="P169" s="13">
        <v>830</v>
      </c>
      <c r="Q169" s="13">
        <v>901</v>
      </c>
      <c r="R169" s="9">
        <f t="shared" si="5"/>
        <v>50767</v>
      </c>
    </row>
    <row r="170" spans="1:18">
      <c r="A170" s="6" t="s">
        <v>191</v>
      </c>
      <c r="B170" s="35" t="s">
        <v>198</v>
      </c>
      <c r="C170" s="6" t="s">
        <v>20</v>
      </c>
      <c r="D170" s="7">
        <v>8.92200959999999</v>
      </c>
      <c r="E170" s="7">
        <v>-0.138644700894755</v>
      </c>
      <c r="F170" s="14">
        <v>54525</v>
      </c>
      <c r="G170" s="8">
        <f t="shared" si="4"/>
        <v>46544</v>
      </c>
      <c r="H170" s="15">
        <v>41.5</v>
      </c>
      <c r="I170" s="15">
        <v>41.4</v>
      </c>
      <c r="J170" s="14">
        <v>100046</v>
      </c>
      <c r="K170" s="14">
        <v>82760</v>
      </c>
      <c r="L170" s="13">
        <v>44193</v>
      </c>
      <c r="M170" s="13">
        <v>43418</v>
      </c>
      <c r="N170" s="13">
        <v>45870</v>
      </c>
      <c r="O170" s="13">
        <v>49965</v>
      </c>
      <c r="P170" s="13">
        <v>2216</v>
      </c>
      <c r="Q170" s="13">
        <v>3018</v>
      </c>
      <c r="R170" s="9">
        <f t="shared" si="5"/>
        <v>188680</v>
      </c>
    </row>
    <row r="171" spans="1:18">
      <c r="A171" s="6" t="s">
        <v>191</v>
      </c>
      <c r="B171" s="35" t="s">
        <v>199</v>
      </c>
      <c r="C171" s="6" t="s">
        <v>22</v>
      </c>
      <c r="D171" s="7">
        <v>8.76637935</v>
      </c>
      <c r="E171" s="7">
        <v>0.0549741822848612</v>
      </c>
      <c r="F171" s="14">
        <v>30173</v>
      </c>
      <c r="G171" s="8">
        <f t="shared" si="4"/>
        <v>24524</v>
      </c>
      <c r="H171" s="15">
        <v>46.3</v>
      </c>
      <c r="I171" s="15">
        <v>42.3</v>
      </c>
      <c r="J171" s="14">
        <v>58488</v>
      </c>
      <c r="K171" s="14">
        <v>46239</v>
      </c>
      <c r="L171" s="13">
        <v>26547</v>
      </c>
      <c r="M171" s="13">
        <v>25130</v>
      </c>
      <c r="N171" s="13">
        <v>24635</v>
      </c>
      <c r="O171" s="13">
        <v>26996</v>
      </c>
      <c r="P171" s="13">
        <v>1329</v>
      </c>
      <c r="Q171" s="13">
        <v>1737</v>
      </c>
      <c r="R171" s="9">
        <f t="shared" si="5"/>
        <v>106374</v>
      </c>
    </row>
    <row r="172" spans="1:18">
      <c r="A172" s="6" t="s">
        <v>191</v>
      </c>
      <c r="B172" s="35" t="s">
        <v>200</v>
      </c>
      <c r="C172" s="6" t="s">
        <v>22</v>
      </c>
      <c r="D172" s="7">
        <v>9.70870525</v>
      </c>
      <c r="E172" s="7">
        <v>0.196098328672698</v>
      </c>
      <c r="F172" s="14">
        <v>23478</v>
      </c>
      <c r="G172" s="8">
        <f t="shared" si="4"/>
        <v>30002</v>
      </c>
      <c r="H172" s="15">
        <v>46</v>
      </c>
      <c r="I172" s="15">
        <v>45.3</v>
      </c>
      <c r="J172" s="14">
        <v>43917</v>
      </c>
      <c r="K172" s="14">
        <v>20603</v>
      </c>
      <c r="L172" s="13">
        <v>21316</v>
      </c>
      <c r="M172" s="13">
        <v>20887</v>
      </c>
      <c r="N172" s="13">
        <v>24741</v>
      </c>
      <c r="O172" s="13">
        <v>26074</v>
      </c>
      <c r="P172" s="13">
        <v>1115</v>
      </c>
      <c r="Q172" s="13">
        <v>1550</v>
      </c>
      <c r="R172" s="9">
        <f t="shared" si="5"/>
        <v>95683</v>
      </c>
    </row>
    <row r="173" s="3" customFormat="1" spans="1:18">
      <c r="A173" s="6" t="s">
        <v>191</v>
      </c>
      <c r="B173" s="35" t="s">
        <v>201</v>
      </c>
      <c r="C173" s="6" t="s">
        <v>20</v>
      </c>
      <c r="D173" s="7">
        <v>9.48585935</v>
      </c>
      <c r="E173" s="7">
        <v>-0.855049753344912</v>
      </c>
      <c r="F173" s="14">
        <v>85957</v>
      </c>
      <c r="G173" s="8">
        <f t="shared" si="4"/>
        <v>123012</v>
      </c>
      <c r="H173" s="15">
        <v>18.7</v>
      </c>
      <c r="I173" s="15">
        <v>43.9</v>
      </c>
      <c r="J173" s="14">
        <v>94006</v>
      </c>
      <c r="K173" s="14">
        <v>62402</v>
      </c>
      <c r="L173" s="13">
        <v>66933</v>
      </c>
      <c r="M173" s="13">
        <v>65809</v>
      </c>
      <c r="N173" s="13">
        <v>98837</v>
      </c>
      <c r="O173" s="13">
        <v>100082</v>
      </c>
      <c r="P173" s="13">
        <v>4429</v>
      </c>
      <c r="Q173" s="13">
        <v>5621</v>
      </c>
      <c r="R173" s="9">
        <f t="shared" si="5"/>
        <v>341711</v>
      </c>
    </row>
    <row r="174" s="3" customFormat="1" spans="1:18">
      <c r="A174" s="6" t="s">
        <v>191</v>
      </c>
      <c r="B174" s="35" t="s">
        <v>202</v>
      </c>
      <c r="C174" s="6" t="s">
        <v>20</v>
      </c>
      <c r="D174" s="7">
        <v>9.6260647</v>
      </c>
      <c r="E174" s="7">
        <v>-0.8258943</v>
      </c>
      <c r="F174" s="14">
        <v>22576</v>
      </c>
      <c r="G174" s="8">
        <f t="shared" si="4"/>
        <v>46349</v>
      </c>
      <c r="H174" s="15">
        <v>41.1</v>
      </c>
      <c r="I174" s="15">
        <v>45.5</v>
      </c>
      <c r="J174" s="14">
        <v>60689</v>
      </c>
      <c r="K174" s="14">
        <v>44028</v>
      </c>
      <c r="L174" s="13">
        <v>27601</v>
      </c>
      <c r="M174" s="13">
        <v>26362</v>
      </c>
      <c r="N174" s="13">
        <v>30825</v>
      </c>
      <c r="O174" s="13">
        <v>33659</v>
      </c>
      <c r="P174" s="13">
        <v>1964</v>
      </c>
      <c r="Q174" s="13">
        <v>2477</v>
      </c>
      <c r="R174" s="9">
        <f t="shared" si="5"/>
        <v>122888</v>
      </c>
    </row>
    <row r="175" s="4" customFormat="1" spans="1:18">
      <c r="A175" s="27" t="s">
        <v>191</v>
      </c>
      <c r="B175" s="36" t="s">
        <v>203</v>
      </c>
      <c r="C175" s="27" t="s">
        <v>56</v>
      </c>
      <c r="D175" s="37">
        <v>9.40078</v>
      </c>
      <c r="E175" s="29">
        <v>-0.8393</v>
      </c>
      <c r="F175" s="30">
        <v>105305</v>
      </c>
      <c r="G175" s="31">
        <f t="shared" si="4"/>
        <v>117605</v>
      </c>
      <c r="H175" s="34">
        <v>21</v>
      </c>
      <c r="I175" s="34">
        <v>44</v>
      </c>
      <c r="J175" s="30">
        <v>123455</v>
      </c>
      <c r="K175" s="30">
        <v>97886</v>
      </c>
      <c r="L175" s="32">
        <v>73044</v>
      </c>
      <c r="M175" s="32">
        <v>71370</v>
      </c>
      <c r="N175" s="32">
        <v>106568</v>
      </c>
      <c r="O175" s="32">
        <v>111108</v>
      </c>
      <c r="P175" s="32">
        <v>2272</v>
      </c>
      <c r="Q175" s="32">
        <v>2962</v>
      </c>
      <c r="R175" s="33">
        <f t="shared" si="5"/>
        <v>367324</v>
      </c>
    </row>
    <row r="176" spans="1:18">
      <c r="A176" s="6" t="s">
        <v>191</v>
      </c>
      <c r="B176" s="35" t="s">
        <v>204</v>
      </c>
      <c r="C176" s="6" t="s">
        <v>22</v>
      </c>
      <c r="D176" s="7">
        <v>9.34906725</v>
      </c>
      <c r="E176" s="7">
        <v>0.514632473680653</v>
      </c>
      <c r="F176" s="14">
        <v>20678</v>
      </c>
      <c r="G176" s="8">
        <f t="shared" si="4"/>
        <v>19204</v>
      </c>
      <c r="H176" s="15">
        <v>52.4</v>
      </c>
      <c r="I176" s="15">
        <v>43.5</v>
      </c>
      <c r="J176" s="14">
        <v>40934</v>
      </c>
      <c r="K176" s="14">
        <v>36464</v>
      </c>
      <c r="L176" s="13">
        <v>17927</v>
      </c>
      <c r="M176" s="13">
        <v>16996</v>
      </c>
      <c r="N176" s="13">
        <v>17913</v>
      </c>
      <c r="O176" s="13">
        <v>19322</v>
      </c>
      <c r="P176" s="13">
        <v>1101</v>
      </c>
      <c r="Q176" s="13">
        <v>1546</v>
      </c>
      <c r="R176" s="9">
        <f t="shared" si="5"/>
        <v>74805</v>
      </c>
    </row>
    <row r="177" spans="1:18">
      <c r="A177" s="6" t="s">
        <v>191</v>
      </c>
      <c r="B177" s="35" t="s">
        <v>205</v>
      </c>
      <c r="C177" s="6" t="s">
        <v>22</v>
      </c>
      <c r="D177" s="7">
        <v>9.555956</v>
      </c>
      <c r="E177" s="7">
        <v>-1.19792230212529</v>
      </c>
      <c r="F177" s="14">
        <v>21538</v>
      </c>
      <c r="G177" s="8">
        <f t="shared" si="4"/>
        <v>43727</v>
      </c>
      <c r="H177" s="15">
        <v>57.5</v>
      </c>
      <c r="I177" s="15">
        <v>46.8</v>
      </c>
      <c r="J177" s="14">
        <v>66152</v>
      </c>
      <c r="K177" s="14">
        <v>61432</v>
      </c>
      <c r="L177" s="13">
        <v>27261</v>
      </c>
      <c r="M177" s="13">
        <v>25564</v>
      </c>
      <c r="N177" s="13">
        <v>29223</v>
      </c>
      <c r="O177" s="13">
        <v>31525</v>
      </c>
      <c r="P177" s="13">
        <v>2023</v>
      </c>
      <c r="Q177" s="13">
        <v>2494</v>
      </c>
      <c r="R177" s="9">
        <f t="shared" si="5"/>
        <v>118090</v>
      </c>
    </row>
    <row r="178" spans="1:18">
      <c r="A178" s="6" t="s">
        <v>191</v>
      </c>
      <c r="B178" s="35" t="s">
        <v>206</v>
      </c>
      <c r="C178" s="6" t="s">
        <v>20</v>
      </c>
      <c r="D178" s="7">
        <v>9.4739214</v>
      </c>
      <c r="E178" s="7">
        <v>0.022769270127783</v>
      </c>
      <c r="F178" s="14">
        <v>35078</v>
      </c>
      <c r="G178" s="8">
        <f t="shared" si="4"/>
        <v>52937</v>
      </c>
      <c r="H178" s="15">
        <v>38.3</v>
      </c>
      <c r="I178" s="15">
        <v>45.3</v>
      </c>
      <c r="J178" s="14">
        <v>71415</v>
      </c>
      <c r="K178" s="14">
        <v>36683</v>
      </c>
      <c r="L178" s="13">
        <v>33899</v>
      </c>
      <c r="M178" s="13">
        <v>32507</v>
      </c>
      <c r="N178" s="13">
        <v>39806</v>
      </c>
      <c r="O178" s="13">
        <v>42284</v>
      </c>
      <c r="P178" s="13">
        <v>2437</v>
      </c>
      <c r="Q178" s="13">
        <v>3488</v>
      </c>
      <c r="R178" s="9">
        <f t="shared" si="5"/>
        <v>154421</v>
      </c>
    </row>
    <row r="179" spans="1:18">
      <c r="A179" s="6" t="s">
        <v>191</v>
      </c>
      <c r="B179" s="35" t="s">
        <v>207</v>
      </c>
      <c r="C179" s="6" t="s">
        <v>22</v>
      </c>
      <c r="D179" s="7">
        <v>9.294058</v>
      </c>
      <c r="E179" s="7">
        <v>0.367064</v>
      </c>
      <c r="F179" s="14">
        <v>19567</v>
      </c>
      <c r="G179" s="8">
        <f t="shared" si="4"/>
        <v>23899</v>
      </c>
      <c r="H179" s="15">
        <v>42.7</v>
      </c>
      <c r="I179" s="15">
        <v>43.3</v>
      </c>
      <c r="J179" s="14">
        <v>46203</v>
      </c>
      <c r="K179" s="14">
        <v>32326</v>
      </c>
      <c r="L179" s="13">
        <v>20403</v>
      </c>
      <c r="M179" s="13">
        <v>18977</v>
      </c>
      <c r="N179" s="13">
        <v>19446</v>
      </c>
      <c r="O179" s="13">
        <v>21673</v>
      </c>
      <c r="P179" s="13">
        <v>1030</v>
      </c>
      <c r="Q179" s="13">
        <v>1317</v>
      </c>
      <c r="R179" s="9">
        <f t="shared" si="5"/>
        <v>82846</v>
      </c>
    </row>
    <row r="180" spans="1:18">
      <c r="A180" s="6" t="s">
        <v>208</v>
      </c>
      <c r="B180" s="35" t="s">
        <v>209</v>
      </c>
      <c r="C180" s="6" t="s">
        <v>22</v>
      </c>
      <c r="D180" s="7">
        <v>7.39217985</v>
      </c>
      <c r="E180" s="7">
        <v>0.262973639210098</v>
      </c>
      <c r="F180" s="14">
        <v>26316</v>
      </c>
      <c r="G180" s="8">
        <f t="shared" si="4"/>
        <v>18533</v>
      </c>
      <c r="H180" s="15">
        <v>34.2</v>
      </c>
      <c r="I180" s="15">
        <v>42.2</v>
      </c>
      <c r="J180" s="14">
        <v>22512</v>
      </c>
      <c r="K180" s="14">
        <v>28009</v>
      </c>
      <c r="L180" s="13">
        <v>13938</v>
      </c>
      <c r="M180" s="13">
        <v>13040</v>
      </c>
      <c r="N180" s="13">
        <v>20259</v>
      </c>
      <c r="O180" s="13">
        <v>20321</v>
      </c>
      <c r="P180" s="13">
        <v>1872</v>
      </c>
      <c r="Q180" s="13">
        <v>2397</v>
      </c>
      <c r="R180" s="9">
        <f t="shared" si="5"/>
        <v>71827</v>
      </c>
    </row>
    <row r="181" spans="1:18">
      <c r="A181" s="6" t="s">
        <v>208</v>
      </c>
      <c r="B181" s="35" t="s">
        <v>210</v>
      </c>
      <c r="C181" s="6" t="s">
        <v>22</v>
      </c>
      <c r="D181" s="7">
        <v>7.19092</v>
      </c>
      <c r="E181" s="7">
        <v>0.60951</v>
      </c>
      <c r="F181" s="14">
        <v>10218</v>
      </c>
      <c r="G181" s="8">
        <f t="shared" si="4"/>
        <v>9102</v>
      </c>
      <c r="H181" s="15">
        <v>28.1</v>
      </c>
      <c r="I181" s="15">
        <v>42.9</v>
      </c>
      <c r="J181" s="14">
        <v>4992</v>
      </c>
      <c r="K181" s="14">
        <v>7735</v>
      </c>
      <c r="L181" s="13">
        <v>4642</v>
      </c>
      <c r="M181" s="13">
        <v>4276</v>
      </c>
      <c r="N181" s="13">
        <v>8596</v>
      </c>
      <c r="O181" s="13">
        <v>7785</v>
      </c>
      <c r="P181" s="13">
        <v>1215</v>
      </c>
      <c r="Q181" s="13">
        <v>1724</v>
      </c>
      <c r="R181" s="9">
        <f t="shared" si="5"/>
        <v>28238</v>
      </c>
    </row>
    <row r="182" spans="1:18">
      <c r="A182" s="6" t="s">
        <v>208</v>
      </c>
      <c r="B182" s="35" t="s">
        <v>211</v>
      </c>
      <c r="C182" s="6" t="s">
        <v>20</v>
      </c>
      <c r="D182" s="7">
        <v>7.40707195</v>
      </c>
      <c r="E182" s="7">
        <v>0.466071316332564</v>
      </c>
      <c r="F182" s="14">
        <v>22068</v>
      </c>
      <c r="G182" s="8">
        <f t="shared" si="4"/>
        <v>17426</v>
      </c>
      <c r="H182" s="15">
        <v>30.2</v>
      </c>
      <c r="I182" s="15">
        <v>42.2</v>
      </c>
      <c r="J182" s="14">
        <v>14510</v>
      </c>
      <c r="K182" s="14">
        <v>21967</v>
      </c>
      <c r="L182" s="13">
        <v>10365</v>
      </c>
      <c r="M182" s="13">
        <v>9836</v>
      </c>
      <c r="N182" s="13">
        <v>18458</v>
      </c>
      <c r="O182" s="13">
        <v>17401</v>
      </c>
      <c r="P182" s="13">
        <v>1618</v>
      </c>
      <c r="Q182" s="13">
        <v>2017</v>
      </c>
      <c r="R182" s="9">
        <f t="shared" si="5"/>
        <v>59695</v>
      </c>
    </row>
    <row r="183" spans="1:18">
      <c r="A183" s="6" t="s">
        <v>208</v>
      </c>
      <c r="B183" s="35" t="s">
        <v>212</v>
      </c>
      <c r="C183" s="6" t="s">
        <v>22</v>
      </c>
      <c r="D183" s="7">
        <v>7.7210325</v>
      </c>
      <c r="E183" s="7">
        <v>0.534053201682814</v>
      </c>
      <c r="F183" s="14">
        <v>27062</v>
      </c>
      <c r="G183" s="8">
        <f t="shared" si="4"/>
        <v>19482</v>
      </c>
      <c r="H183" s="15">
        <v>27.2</v>
      </c>
      <c r="I183" s="15">
        <v>41.5</v>
      </c>
      <c r="J183" s="14">
        <v>21183</v>
      </c>
      <c r="K183" s="14">
        <v>21373</v>
      </c>
      <c r="L183" s="13">
        <v>14138</v>
      </c>
      <c r="M183" s="13">
        <v>13277</v>
      </c>
      <c r="N183" s="13">
        <v>21950</v>
      </c>
      <c r="O183" s="13">
        <v>20709</v>
      </c>
      <c r="P183" s="13">
        <v>1814</v>
      </c>
      <c r="Q183" s="13">
        <v>2071</v>
      </c>
      <c r="R183" s="9">
        <f t="shared" si="5"/>
        <v>73959</v>
      </c>
    </row>
    <row r="184" spans="1:18">
      <c r="A184" s="6" t="s">
        <v>208</v>
      </c>
      <c r="B184" s="35" t="s">
        <v>213</v>
      </c>
      <c r="C184" s="6" t="s">
        <v>20</v>
      </c>
      <c r="D184" s="7">
        <v>7.69817</v>
      </c>
      <c r="E184" s="7">
        <v>0.22447</v>
      </c>
      <c r="F184" s="14">
        <v>38222</v>
      </c>
      <c r="G184" s="8">
        <f t="shared" si="4"/>
        <v>26542</v>
      </c>
      <c r="H184" s="15">
        <v>41.2</v>
      </c>
      <c r="I184" s="15">
        <v>41.6</v>
      </c>
      <c r="J184" s="14">
        <v>48059</v>
      </c>
      <c r="K184" s="14">
        <v>50657</v>
      </c>
      <c r="L184" s="13">
        <v>23489</v>
      </c>
      <c r="M184" s="13">
        <v>22182</v>
      </c>
      <c r="N184" s="13">
        <v>30990</v>
      </c>
      <c r="O184" s="13">
        <v>30218</v>
      </c>
      <c r="P184" s="13">
        <v>1707</v>
      </c>
      <c r="Q184" s="13">
        <v>1849</v>
      </c>
      <c r="R184" s="9">
        <f t="shared" si="5"/>
        <v>110435</v>
      </c>
    </row>
    <row r="185" spans="1:18">
      <c r="A185" s="6" t="s">
        <v>208</v>
      </c>
      <c r="B185" s="35" t="s">
        <v>214</v>
      </c>
      <c r="C185" s="6" t="s">
        <v>22</v>
      </c>
      <c r="D185" s="7">
        <v>8.1892008</v>
      </c>
      <c r="E185" s="7">
        <v>-0.0866133771431008</v>
      </c>
      <c r="F185" s="14">
        <v>28802</v>
      </c>
      <c r="G185" s="8">
        <f t="shared" si="4"/>
        <v>17142</v>
      </c>
      <c r="H185" s="15">
        <v>47.2</v>
      </c>
      <c r="I185" s="15">
        <v>40.8</v>
      </c>
      <c r="J185" s="14">
        <v>38203</v>
      </c>
      <c r="K185" s="14">
        <v>47974</v>
      </c>
      <c r="L185" s="13">
        <v>17598</v>
      </c>
      <c r="M185" s="13">
        <v>16392</v>
      </c>
      <c r="N185" s="13">
        <v>21445</v>
      </c>
      <c r="O185" s="13">
        <v>21370</v>
      </c>
      <c r="P185" s="13">
        <v>1324</v>
      </c>
      <c r="Q185" s="13">
        <v>1805</v>
      </c>
      <c r="R185" s="9">
        <f t="shared" si="5"/>
        <v>79934</v>
      </c>
    </row>
    <row r="186" spans="1:18">
      <c r="A186" s="6" t="s">
        <v>208</v>
      </c>
      <c r="B186" s="35" t="s">
        <v>215</v>
      </c>
      <c r="C186" s="6" t="s">
        <v>20</v>
      </c>
      <c r="D186" s="7">
        <v>7.8</v>
      </c>
      <c r="E186" s="7">
        <v>-0.01667</v>
      </c>
      <c r="F186" s="14">
        <v>20533</v>
      </c>
      <c r="G186" s="8">
        <f t="shared" si="4"/>
        <v>17593</v>
      </c>
      <c r="H186" s="15">
        <v>37.4</v>
      </c>
      <c r="I186" s="15">
        <v>41.7</v>
      </c>
      <c r="J186" s="14">
        <v>25155</v>
      </c>
      <c r="K186" s="14">
        <v>15465</v>
      </c>
      <c r="L186" s="13">
        <v>11860</v>
      </c>
      <c r="M186" s="13">
        <v>11142</v>
      </c>
      <c r="N186" s="13">
        <v>18268</v>
      </c>
      <c r="O186" s="13">
        <v>17444</v>
      </c>
      <c r="P186" s="13">
        <v>1081</v>
      </c>
      <c r="Q186" s="13">
        <v>1333</v>
      </c>
      <c r="R186" s="9">
        <f t="shared" si="5"/>
        <v>61128</v>
      </c>
    </row>
    <row r="187" spans="1:18">
      <c r="A187" s="6" t="s">
        <v>208</v>
      </c>
      <c r="B187" s="35" t="s">
        <v>216</v>
      </c>
      <c r="C187" s="6" t="s">
        <v>22</v>
      </c>
      <c r="D187" s="7">
        <v>8.4892994</v>
      </c>
      <c r="E187" s="7">
        <v>0.3094664</v>
      </c>
      <c r="F187" s="14">
        <v>39799</v>
      </c>
      <c r="G187" s="8">
        <f t="shared" si="4"/>
        <v>29263</v>
      </c>
      <c r="H187" s="15">
        <v>55.2</v>
      </c>
      <c r="I187" s="15">
        <v>41.7</v>
      </c>
      <c r="J187" s="14">
        <v>69270</v>
      </c>
      <c r="K187" s="14">
        <v>92265</v>
      </c>
      <c r="L187" s="13">
        <v>28933</v>
      </c>
      <c r="M187" s="13">
        <v>28101</v>
      </c>
      <c r="N187" s="13">
        <v>32315</v>
      </c>
      <c r="O187" s="13">
        <v>33375</v>
      </c>
      <c r="P187" s="13">
        <v>1374</v>
      </c>
      <c r="Q187" s="13">
        <v>1998</v>
      </c>
      <c r="R187" s="9">
        <f t="shared" si="5"/>
        <v>126096</v>
      </c>
    </row>
    <row r="188" spans="1:18">
      <c r="A188" s="6" t="s">
        <v>208</v>
      </c>
      <c r="B188" s="35" t="s">
        <v>217</v>
      </c>
      <c r="C188" s="6" t="s">
        <v>20</v>
      </c>
      <c r="D188" s="7">
        <v>8.25811615</v>
      </c>
      <c r="E188" s="7">
        <v>0.509975335946734</v>
      </c>
      <c r="F188" s="14">
        <v>47109</v>
      </c>
      <c r="G188" s="8">
        <f t="shared" si="4"/>
        <v>32265</v>
      </c>
      <c r="H188" s="15">
        <v>42.8</v>
      </c>
      <c r="I188" s="15">
        <v>41.8</v>
      </c>
      <c r="J188" s="14">
        <v>60865</v>
      </c>
      <c r="K188" s="14">
        <v>71074</v>
      </c>
      <c r="L188" s="13">
        <v>29048</v>
      </c>
      <c r="M188" s="13">
        <v>27514</v>
      </c>
      <c r="N188" s="13">
        <v>36847</v>
      </c>
      <c r="O188" s="13">
        <v>37565</v>
      </c>
      <c r="P188" s="13">
        <v>2248</v>
      </c>
      <c r="Q188" s="13">
        <v>2714</v>
      </c>
      <c r="R188" s="9">
        <f t="shared" si="5"/>
        <v>135936</v>
      </c>
    </row>
    <row r="189" spans="1:18">
      <c r="A189" s="6" t="s">
        <v>218</v>
      </c>
      <c r="B189" s="35" t="s">
        <v>219</v>
      </c>
      <c r="C189" s="6" t="s">
        <v>22</v>
      </c>
      <c r="D189" s="7">
        <v>8.69166865</v>
      </c>
      <c r="E189" s="7">
        <v>-2.17855621492469</v>
      </c>
      <c r="F189" s="14">
        <v>27779</v>
      </c>
      <c r="G189" s="8">
        <f t="shared" si="4"/>
        <v>44167</v>
      </c>
      <c r="H189" s="15">
        <v>37.2</v>
      </c>
      <c r="I189" s="15">
        <v>44.8</v>
      </c>
      <c r="J189" s="14">
        <v>56513</v>
      </c>
      <c r="K189" s="14">
        <v>22652</v>
      </c>
      <c r="L189" s="13">
        <v>22281</v>
      </c>
      <c r="M189" s="13">
        <v>21573</v>
      </c>
      <c r="N189" s="13">
        <v>36043</v>
      </c>
      <c r="O189" s="13">
        <v>32286</v>
      </c>
      <c r="P189" s="13">
        <v>1579</v>
      </c>
      <c r="Q189" s="13">
        <v>2038</v>
      </c>
      <c r="R189" s="9">
        <f t="shared" si="5"/>
        <v>115800</v>
      </c>
    </row>
    <row r="190" spans="1:18">
      <c r="A190" s="6" t="s">
        <v>218</v>
      </c>
      <c r="B190" s="35" t="s">
        <v>220</v>
      </c>
      <c r="C190" s="6" t="s">
        <v>22</v>
      </c>
      <c r="D190" s="7">
        <v>8.93715119999999</v>
      </c>
      <c r="E190" s="7">
        <v>-1.10983922943129</v>
      </c>
      <c r="F190" s="14">
        <v>24193</v>
      </c>
      <c r="G190" s="8">
        <f t="shared" si="4"/>
        <v>52626</v>
      </c>
      <c r="H190" s="15">
        <v>61.8</v>
      </c>
      <c r="I190" s="15">
        <v>46.6</v>
      </c>
      <c r="J190" s="14">
        <v>81261</v>
      </c>
      <c r="K190" s="14">
        <v>65926</v>
      </c>
      <c r="L190" s="13">
        <v>33708</v>
      </c>
      <c r="M190" s="13">
        <v>32235</v>
      </c>
      <c r="N190" s="13">
        <v>36113</v>
      </c>
      <c r="O190" s="13">
        <v>37012</v>
      </c>
      <c r="P190" s="13">
        <v>1814</v>
      </c>
      <c r="Q190" s="13">
        <v>1880</v>
      </c>
      <c r="R190" s="9">
        <f t="shared" si="5"/>
        <v>142762</v>
      </c>
    </row>
    <row r="191" spans="1:18">
      <c r="A191" s="6" t="s">
        <v>218</v>
      </c>
      <c r="B191" s="35" t="s">
        <v>221</v>
      </c>
      <c r="C191" s="6" t="s">
        <v>20</v>
      </c>
      <c r="D191" s="7">
        <v>8.347473</v>
      </c>
      <c r="E191" s="7">
        <v>-0.7895018232454</v>
      </c>
      <c r="F191" s="14">
        <v>31564</v>
      </c>
      <c r="G191" s="8">
        <f t="shared" si="4"/>
        <v>37727</v>
      </c>
      <c r="H191" s="15">
        <v>38.8</v>
      </c>
      <c r="I191" s="15">
        <v>43.1</v>
      </c>
      <c r="J191" s="14">
        <v>60387</v>
      </c>
      <c r="K191" s="14">
        <v>34704</v>
      </c>
      <c r="L191" s="13">
        <v>24863</v>
      </c>
      <c r="M191" s="13">
        <v>23601</v>
      </c>
      <c r="N191" s="13">
        <v>33657</v>
      </c>
      <c r="O191" s="13">
        <v>32157</v>
      </c>
      <c r="P191" s="13">
        <v>1679</v>
      </c>
      <c r="Q191" s="13">
        <v>1798</v>
      </c>
      <c r="R191" s="9">
        <f t="shared" si="5"/>
        <v>117755</v>
      </c>
    </row>
    <row r="192" spans="1:18">
      <c r="A192" s="6" t="s">
        <v>218</v>
      </c>
      <c r="B192" s="35" t="s">
        <v>222</v>
      </c>
      <c r="C192" s="6" t="s">
        <v>22</v>
      </c>
      <c r="D192" s="7">
        <v>8.98787705</v>
      </c>
      <c r="E192" s="7">
        <v>-0.403868101269744</v>
      </c>
      <c r="F192" s="14">
        <v>8662</v>
      </c>
      <c r="G192" s="8">
        <f t="shared" si="4"/>
        <v>12137</v>
      </c>
      <c r="H192" s="15">
        <v>60.4</v>
      </c>
      <c r="I192" s="15">
        <v>45.6</v>
      </c>
      <c r="J192" s="14">
        <v>23615</v>
      </c>
      <c r="K192" s="14">
        <v>23207</v>
      </c>
      <c r="L192" s="13">
        <v>9616</v>
      </c>
      <c r="M192" s="13">
        <v>8989</v>
      </c>
      <c r="N192" s="13">
        <v>9775</v>
      </c>
      <c r="O192" s="13">
        <v>9966</v>
      </c>
      <c r="P192" s="13">
        <v>526</v>
      </c>
      <c r="Q192" s="13">
        <v>532</v>
      </c>
      <c r="R192" s="9">
        <f t="shared" si="5"/>
        <v>39404</v>
      </c>
    </row>
    <row r="193" spans="1:18">
      <c r="A193" s="6" t="s">
        <v>218</v>
      </c>
      <c r="B193" s="35" t="s">
        <v>223</v>
      </c>
      <c r="C193" s="6" t="s">
        <v>22</v>
      </c>
      <c r="D193" s="7">
        <v>8.98787705</v>
      </c>
      <c r="E193" s="7">
        <v>-0.403868101269744</v>
      </c>
      <c r="F193" s="14">
        <v>12152</v>
      </c>
      <c r="G193" s="8">
        <f t="shared" si="4"/>
        <v>21266</v>
      </c>
      <c r="H193" s="15">
        <v>58.4</v>
      </c>
      <c r="I193" s="15">
        <v>47.2</v>
      </c>
      <c r="J193" s="14">
        <v>36888</v>
      </c>
      <c r="K193" s="14">
        <v>36681</v>
      </c>
      <c r="L193" s="13">
        <v>14200</v>
      </c>
      <c r="M193" s="13">
        <v>13825</v>
      </c>
      <c r="N193" s="13">
        <v>15763</v>
      </c>
      <c r="O193" s="13">
        <v>15868</v>
      </c>
      <c r="P193" s="13">
        <v>801</v>
      </c>
      <c r="Q193" s="13">
        <v>986</v>
      </c>
      <c r="R193" s="9">
        <f t="shared" si="5"/>
        <v>61443</v>
      </c>
    </row>
    <row r="194" spans="1:18">
      <c r="A194" s="6" t="s">
        <v>218</v>
      </c>
      <c r="B194" s="35" t="s">
        <v>224</v>
      </c>
      <c r="C194" s="6" t="s">
        <v>22</v>
      </c>
      <c r="D194" s="7">
        <v>9.4809443</v>
      </c>
      <c r="E194" s="7">
        <v>-2.41330933679435</v>
      </c>
      <c r="F194" s="14">
        <v>22712</v>
      </c>
      <c r="G194" s="8">
        <f t="shared" si="4"/>
        <v>43064</v>
      </c>
      <c r="H194" s="15">
        <v>54.2</v>
      </c>
      <c r="I194" s="15">
        <v>46.9</v>
      </c>
      <c r="J194" s="14">
        <v>66172</v>
      </c>
      <c r="K194" s="14">
        <v>48272</v>
      </c>
      <c r="L194" s="13">
        <v>23714</v>
      </c>
      <c r="M194" s="13">
        <v>23174</v>
      </c>
      <c r="N194" s="13">
        <v>26941</v>
      </c>
      <c r="O194" s="13">
        <v>33062</v>
      </c>
      <c r="P194" s="13">
        <v>2349</v>
      </c>
      <c r="Q194" s="13">
        <v>3424</v>
      </c>
      <c r="R194" s="9">
        <f t="shared" si="5"/>
        <v>112664</v>
      </c>
    </row>
    <row r="195" spans="1:18">
      <c r="A195" s="6" t="s">
        <v>218</v>
      </c>
      <c r="B195" s="35" t="s">
        <v>225</v>
      </c>
      <c r="C195" s="6" t="s">
        <v>20</v>
      </c>
      <c r="D195" s="7">
        <v>9.5267018</v>
      </c>
      <c r="E195" s="7">
        <v>-1.5071681</v>
      </c>
      <c r="F195" s="14">
        <v>10305</v>
      </c>
      <c r="G195" s="8">
        <f t="shared" ref="G195:G258" si="6">SUM(N195:Q195)-SUM(F195)</f>
        <v>28704</v>
      </c>
      <c r="H195" s="15">
        <v>39.7</v>
      </c>
      <c r="I195" s="15">
        <v>44.9</v>
      </c>
      <c r="J195" s="14">
        <v>25501</v>
      </c>
      <c r="K195" s="14">
        <v>5633</v>
      </c>
      <c r="L195" s="13">
        <v>12525</v>
      </c>
      <c r="M195" s="13">
        <v>11915</v>
      </c>
      <c r="N195" s="13">
        <v>18794</v>
      </c>
      <c r="O195" s="13">
        <v>18196</v>
      </c>
      <c r="P195" s="13">
        <v>951</v>
      </c>
      <c r="Q195" s="13">
        <v>1068</v>
      </c>
      <c r="R195" s="9">
        <f t="shared" ref="R195:R258" si="7">SUM(L195:Q195)</f>
        <v>63449</v>
      </c>
    </row>
    <row r="196" spans="1:18">
      <c r="A196" s="6" t="s">
        <v>226</v>
      </c>
      <c r="B196" s="35" t="s">
        <v>227</v>
      </c>
      <c r="C196" s="6" t="s">
        <v>20</v>
      </c>
      <c r="D196" s="7">
        <v>11.0607602</v>
      </c>
      <c r="E196" s="7">
        <v>-0.2422876</v>
      </c>
      <c r="F196" s="14">
        <v>31016</v>
      </c>
      <c r="G196" s="8">
        <f t="shared" si="6"/>
        <v>42804</v>
      </c>
      <c r="H196" s="15">
        <v>23.6</v>
      </c>
      <c r="I196" s="15">
        <v>44.8</v>
      </c>
      <c r="J196" s="14">
        <v>49713</v>
      </c>
      <c r="K196" s="14">
        <v>8649</v>
      </c>
      <c r="L196" s="13">
        <v>23314</v>
      </c>
      <c r="M196" s="13">
        <v>22324</v>
      </c>
      <c r="N196" s="13">
        <v>32217</v>
      </c>
      <c r="O196" s="13">
        <v>34839</v>
      </c>
      <c r="P196" s="13">
        <v>2498</v>
      </c>
      <c r="Q196" s="13">
        <v>4266</v>
      </c>
      <c r="R196" s="9">
        <f t="shared" si="7"/>
        <v>119458</v>
      </c>
    </row>
    <row r="197" spans="1:18">
      <c r="A197" s="6" t="s">
        <v>226</v>
      </c>
      <c r="B197" s="35" t="s">
        <v>228</v>
      </c>
      <c r="C197" s="6" t="s">
        <v>22</v>
      </c>
      <c r="D197" s="7">
        <v>10.84277</v>
      </c>
      <c r="E197" s="7">
        <v>-0.492947618512454</v>
      </c>
      <c r="F197" s="14">
        <v>30266</v>
      </c>
      <c r="G197" s="8">
        <f t="shared" si="6"/>
        <v>55329</v>
      </c>
      <c r="H197" s="15">
        <v>47.6</v>
      </c>
      <c r="I197" s="15">
        <v>47.2</v>
      </c>
      <c r="J197" s="14">
        <v>74798</v>
      </c>
      <c r="K197" s="14">
        <v>18214</v>
      </c>
      <c r="L197" s="13">
        <v>30246</v>
      </c>
      <c r="M197" s="13">
        <v>28348</v>
      </c>
      <c r="N197" s="13">
        <v>37320</v>
      </c>
      <c r="O197" s="13">
        <v>39958</v>
      </c>
      <c r="P197" s="13">
        <v>3215</v>
      </c>
      <c r="Q197" s="13">
        <v>5102</v>
      </c>
      <c r="R197" s="9">
        <f t="shared" si="7"/>
        <v>144189</v>
      </c>
    </row>
    <row r="198" spans="1:18">
      <c r="A198" s="6" t="s">
        <v>226</v>
      </c>
      <c r="B198" s="35" t="s">
        <v>229</v>
      </c>
      <c r="C198" s="6" t="s">
        <v>22</v>
      </c>
      <c r="D198" s="7">
        <v>10.9694889</v>
      </c>
      <c r="E198" s="7">
        <v>-0.3062234</v>
      </c>
      <c r="F198" s="14">
        <v>13742</v>
      </c>
      <c r="G198" s="8">
        <f t="shared" si="6"/>
        <v>32587</v>
      </c>
      <c r="H198" s="15">
        <v>53.8</v>
      </c>
      <c r="I198" s="15">
        <v>47.8</v>
      </c>
      <c r="J198" s="14">
        <v>40396</v>
      </c>
      <c r="K198" s="14">
        <v>10934</v>
      </c>
      <c r="L198" s="13">
        <v>15617</v>
      </c>
      <c r="M198" s="13">
        <v>14733</v>
      </c>
      <c r="N198" s="13">
        <v>19298</v>
      </c>
      <c r="O198" s="13">
        <v>21406</v>
      </c>
      <c r="P198" s="13">
        <v>2076</v>
      </c>
      <c r="Q198" s="13">
        <v>3549</v>
      </c>
      <c r="R198" s="9">
        <f t="shared" si="7"/>
        <v>76679</v>
      </c>
    </row>
    <row r="199" spans="1:18">
      <c r="A199" s="6" t="s">
        <v>226</v>
      </c>
      <c r="B199" s="35" t="s">
        <v>230</v>
      </c>
      <c r="C199" s="6" t="s">
        <v>22</v>
      </c>
      <c r="D199" s="7">
        <v>10.7853963</v>
      </c>
      <c r="E199" s="7">
        <v>-0.8487322</v>
      </c>
      <c r="F199" s="14">
        <v>9790</v>
      </c>
      <c r="G199" s="8">
        <f t="shared" si="6"/>
        <v>15601</v>
      </c>
      <c r="H199" s="15">
        <v>24.9</v>
      </c>
      <c r="I199" s="15">
        <v>44</v>
      </c>
      <c r="J199" s="14">
        <v>12504</v>
      </c>
      <c r="K199" s="14">
        <v>2878</v>
      </c>
      <c r="L199" s="13">
        <v>6860</v>
      </c>
      <c r="M199" s="13">
        <v>6573</v>
      </c>
      <c r="N199" s="13">
        <v>11258</v>
      </c>
      <c r="O199" s="13">
        <v>11835</v>
      </c>
      <c r="P199" s="13">
        <v>718</v>
      </c>
      <c r="Q199" s="13">
        <v>1580</v>
      </c>
      <c r="R199" s="9">
        <f t="shared" si="7"/>
        <v>38824</v>
      </c>
    </row>
    <row r="200" spans="1:18">
      <c r="A200" s="6" t="s">
        <v>226</v>
      </c>
      <c r="B200" s="35" t="s">
        <v>231</v>
      </c>
      <c r="C200" s="6" t="s">
        <v>20</v>
      </c>
      <c r="D200" s="7">
        <v>10.7853963</v>
      </c>
      <c r="E200" s="7">
        <v>-0.8487322</v>
      </c>
      <c r="F200" s="14">
        <v>41187</v>
      </c>
      <c r="G200" s="8">
        <f t="shared" si="6"/>
        <v>52286</v>
      </c>
      <c r="H200" s="15">
        <v>20.2</v>
      </c>
      <c r="I200" s="15">
        <v>44.8</v>
      </c>
      <c r="J200" s="14">
        <v>40341</v>
      </c>
      <c r="K200" s="14">
        <v>12511</v>
      </c>
      <c r="L200" s="13">
        <v>24732</v>
      </c>
      <c r="M200" s="13">
        <v>24304</v>
      </c>
      <c r="N200" s="13">
        <v>40979</v>
      </c>
      <c r="O200" s="13">
        <v>46310</v>
      </c>
      <c r="P200" s="13">
        <v>2139</v>
      </c>
      <c r="Q200" s="13">
        <v>4045</v>
      </c>
      <c r="R200" s="9">
        <f t="shared" si="7"/>
        <v>142509</v>
      </c>
    </row>
    <row r="201" spans="1:18">
      <c r="A201" s="6" t="s">
        <v>226</v>
      </c>
      <c r="B201" s="35" t="s">
        <v>232</v>
      </c>
      <c r="C201" s="6" t="s">
        <v>22</v>
      </c>
      <c r="D201" s="7">
        <v>10.9166838999999</v>
      </c>
      <c r="E201" s="7">
        <v>-0.805767855895511</v>
      </c>
      <c r="F201" s="14">
        <v>16592</v>
      </c>
      <c r="G201" s="8">
        <f t="shared" si="6"/>
        <v>56294</v>
      </c>
      <c r="H201" s="15">
        <v>54</v>
      </c>
      <c r="I201" s="15">
        <v>48.5</v>
      </c>
      <c r="J201" s="14">
        <v>51970</v>
      </c>
      <c r="K201" s="14">
        <v>19822</v>
      </c>
      <c r="L201" s="13">
        <v>22357</v>
      </c>
      <c r="M201" s="13">
        <v>21188</v>
      </c>
      <c r="N201" s="13">
        <v>30052</v>
      </c>
      <c r="O201" s="13">
        <v>35165</v>
      </c>
      <c r="P201" s="13">
        <v>2685</v>
      </c>
      <c r="Q201" s="13">
        <v>4984</v>
      </c>
      <c r="R201" s="9">
        <f t="shared" si="7"/>
        <v>116431</v>
      </c>
    </row>
    <row r="202" spans="1:18">
      <c r="A202" s="6" t="s">
        <v>226</v>
      </c>
      <c r="B202" s="35" t="s">
        <v>233</v>
      </c>
      <c r="C202" s="6" t="s">
        <v>20</v>
      </c>
      <c r="D202" s="7">
        <v>10.73472</v>
      </c>
      <c r="E202" s="7">
        <v>-1.29056</v>
      </c>
      <c r="F202" s="14">
        <v>12841</v>
      </c>
      <c r="G202" s="8">
        <f t="shared" si="6"/>
        <v>24155</v>
      </c>
      <c r="H202" s="15">
        <v>39.7</v>
      </c>
      <c r="I202" s="15">
        <v>46.8</v>
      </c>
      <c r="J202" s="14">
        <v>22586</v>
      </c>
      <c r="K202" s="14">
        <v>6489</v>
      </c>
      <c r="L202" s="13">
        <v>10206</v>
      </c>
      <c r="M202" s="13">
        <v>9369</v>
      </c>
      <c r="N202" s="13">
        <v>16697</v>
      </c>
      <c r="O202" s="13">
        <v>16143</v>
      </c>
      <c r="P202" s="13">
        <v>1429</v>
      </c>
      <c r="Q202" s="13">
        <v>2727</v>
      </c>
      <c r="R202" s="9">
        <f t="shared" si="7"/>
        <v>56571</v>
      </c>
    </row>
    <row r="203" spans="1:18">
      <c r="A203" s="6" t="s">
        <v>226</v>
      </c>
      <c r="B203" s="35" t="s">
        <v>234</v>
      </c>
      <c r="C203" s="6" t="s">
        <v>22</v>
      </c>
      <c r="D203" s="7">
        <v>10.53032385</v>
      </c>
      <c r="E203" s="7">
        <v>-1.26246582508358</v>
      </c>
      <c r="F203" s="14">
        <v>6949</v>
      </c>
      <c r="G203" s="8">
        <f t="shared" si="6"/>
        <v>15982</v>
      </c>
      <c r="H203" s="15">
        <v>55.1</v>
      </c>
      <c r="I203" s="15">
        <v>47.7</v>
      </c>
      <c r="J203" s="14">
        <v>18682</v>
      </c>
      <c r="K203" s="14">
        <v>8007</v>
      </c>
      <c r="L203" s="13">
        <v>7090</v>
      </c>
      <c r="M203" s="13">
        <v>6554</v>
      </c>
      <c r="N203" s="13">
        <v>10496</v>
      </c>
      <c r="O203" s="13">
        <v>10263</v>
      </c>
      <c r="P203" s="13">
        <v>742</v>
      </c>
      <c r="Q203" s="13">
        <v>1430</v>
      </c>
      <c r="R203" s="9">
        <f t="shared" si="7"/>
        <v>36575</v>
      </c>
    </row>
    <row r="204" spans="1:18">
      <c r="A204" s="6" t="s">
        <v>226</v>
      </c>
      <c r="B204" s="35" t="s">
        <v>235</v>
      </c>
      <c r="C204" s="6" t="s">
        <v>22</v>
      </c>
      <c r="D204" s="7">
        <v>10.76975475</v>
      </c>
      <c r="E204" s="7">
        <v>-0.21182067584702</v>
      </c>
      <c r="F204" s="14">
        <v>15489</v>
      </c>
      <c r="G204" s="8">
        <f t="shared" si="6"/>
        <v>27113</v>
      </c>
      <c r="H204" s="15">
        <v>44.7</v>
      </c>
      <c r="I204" s="15">
        <v>47.7</v>
      </c>
      <c r="J204" s="14">
        <v>36894</v>
      </c>
      <c r="K204" s="14">
        <v>14309</v>
      </c>
      <c r="L204" s="13">
        <v>14969</v>
      </c>
      <c r="M204" s="13">
        <v>14203</v>
      </c>
      <c r="N204" s="13">
        <v>17246</v>
      </c>
      <c r="O204" s="13">
        <v>19558</v>
      </c>
      <c r="P204" s="13">
        <v>2219</v>
      </c>
      <c r="Q204" s="13">
        <v>3579</v>
      </c>
      <c r="R204" s="9">
        <f t="shared" si="7"/>
        <v>71774</v>
      </c>
    </row>
    <row r="205" spans="1:18">
      <c r="A205" s="6" t="s">
        <v>226</v>
      </c>
      <c r="B205" s="35" t="s">
        <v>236</v>
      </c>
      <c r="C205" s="6" t="s">
        <v>20</v>
      </c>
      <c r="D205" s="7">
        <v>10.895598</v>
      </c>
      <c r="E205" s="7">
        <v>-1.30768</v>
      </c>
      <c r="F205" s="14">
        <v>23082</v>
      </c>
      <c r="G205" s="8">
        <f t="shared" si="6"/>
        <v>44019</v>
      </c>
      <c r="H205" s="15">
        <v>33.8</v>
      </c>
      <c r="I205" s="15">
        <v>47.1</v>
      </c>
      <c r="J205" s="14">
        <v>32647</v>
      </c>
      <c r="K205" s="14">
        <v>12449</v>
      </c>
      <c r="L205" s="13">
        <v>16622</v>
      </c>
      <c r="M205" s="13">
        <v>16172</v>
      </c>
      <c r="N205" s="13">
        <v>29966</v>
      </c>
      <c r="O205" s="13">
        <v>31126</v>
      </c>
      <c r="P205" s="13">
        <v>2070</v>
      </c>
      <c r="Q205" s="13">
        <v>3939</v>
      </c>
      <c r="R205" s="9">
        <f t="shared" si="7"/>
        <v>99895</v>
      </c>
    </row>
    <row r="206" spans="1:18">
      <c r="A206" s="6" t="s">
        <v>226</v>
      </c>
      <c r="B206" s="35" t="s">
        <v>237</v>
      </c>
      <c r="C206" s="6" t="s">
        <v>22</v>
      </c>
      <c r="D206" s="7">
        <v>10.895598</v>
      </c>
      <c r="E206" s="7">
        <v>-1.30768</v>
      </c>
      <c r="F206" s="14">
        <v>15015</v>
      </c>
      <c r="G206" s="8">
        <f t="shared" si="6"/>
        <v>42880</v>
      </c>
      <c r="H206" s="15">
        <v>53.6</v>
      </c>
      <c r="I206" s="15">
        <v>47.4</v>
      </c>
      <c r="J206" s="14">
        <v>37336</v>
      </c>
      <c r="K206" s="14">
        <v>12340</v>
      </c>
      <c r="L206" s="13">
        <v>16879</v>
      </c>
      <c r="M206" s="13">
        <v>15961</v>
      </c>
      <c r="N206" s="13">
        <v>24454</v>
      </c>
      <c r="O206" s="13">
        <v>26493</v>
      </c>
      <c r="P206" s="13">
        <v>2576</v>
      </c>
      <c r="Q206" s="13">
        <v>4372</v>
      </c>
      <c r="R206" s="9">
        <f t="shared" si="7"/>
        <v>90735</v>
      </c>
    </row>
    <row r="207" spans="1:18">
      <c r="A207" s="6" t="s">
        <v>226</v>
      </c>
      <c r="B207" s="35" t="s">
        <v>238</v>
      </c>
      <c r="C207" s="6" t="s">
        <v>22</v>
      </c>
      <c r="D207" s="7">
        <v>10.8469045</v>
      </c>
      <c r="E207" s="7">
        <v>-0.661562047243897</v>
      </c>
      <c r="F207" s="14">
        <v>5352</v>
      </c>
      <c r="G207" s="8">
        <f t="shared" si="6"/>
        <v>29181</v>
      </c>
      <c r="H207" s="15">
        <v>68.6</v>
      </c>
      <c r="I207" s="15">
        <v>51.2</v>
      </c>
      <c r="J207" s="14">
        <v>24677</v>
      </c>
      <c r="K207" s="14">
        <v>10522</v>
      </c>
      <c r="L207" s="13">
        <v>9547</v>
      </c>
      <c r="M207" s="13">
        <v>8959</v>
      </c>
      <c r="N207" s="13">
        <v>15580</v>
      </c>
      <c r="O207" s="13">
        <v>16128</v>
      </c>
      <c r="P207" s="13">
        <v>1008</v>
      </c>
      <c r="Q207" s="13">
        <v>1817</v>
      </c>
      <c r="R207" s="9">
        <f t="shared" si="7"/>
        <v>53039</v>
      </c>
    </row>
    <row r="208" spans="1:18">
      <c r="A208" s="6" t="s">
        <v>226</v>
      </c>
      <c r="B208" s="35" t="s">
        <v>239</v>
      </c>
      <c r="C208" s="6" t="s">
        <v>22</v>
      </c>
      <c r="D208" s="7">
        <v>11.0854045</v>
      </c>
      <c r="E208" s="7">
        <v>-0.1276855</v>
      </c>
      <c r="F208" s="14">
        <v>15814</v>
      </c>
      <c r="G208" s="8">
        <f t="shared" si="6"/>
        <v>30610</v>
      </c>
      <c r="H208" s="15">
        <v>40.8</v>
      </c>
      <c r="I208" s="15">
        <v>45.4</v>
      </c>
      <c r="J208" s="14">
        <v>44153</v>
      </c>
      <c r="K208" s="14">
        <v>6809</v>
      </c>
      <c r="L208" s="13">
        <v>17464</v>
      </c>
      <c r="M208" s="13">
        <v>16645</v>
      </c>
      <c r="N208" s="13">
        <v>19362</v>
      </c>
      <c r="O208" s="13">
        <v>22108</v>
      </c>
      <c r="P208" s="13">
        <v>1943</v>
      </c>
      <c r="Q208" s="13">
        <v>3011</v>
      </c>
      <c r="R208" s="9">
        <f t="shared" si="7"/>
        <v>80533</v>
      </c>
    </row>
    <row r="209" spans="1:18">
      <c r="A209" s="6" t="s">
        <v>226</v>
      </c>
      <c r="B209" s="35" t="s">
        <v>240</v>
      </c>
      <c r="C209" s="6" t="s">
        <v>22</v>
      </c>
      <c r="D209" s="7">
        <v>10.6451057499999</v>
      </c>
      <c r="E209" s="7">
        <v>-0.62587443176215</v>
      </c>
      <c r="F209" s="14">
        <v>15187</v>
      </c>
      <c r="G209" s="8">
        <f t="shared" si="6"/>
        <v>39504</v>
      </c>
      <c r="H209" s="15">
        <v>56.2</v>
      </c>
      <c r="I209" s="15">
        <v>48.9</v>
      </c>
      <c r="J209" s="14">
        <v>35409</v>
      </c>
      <c r="K209" s="14">
        <v>16401</v>
      </c>
      <c r="L209" s="13">
        <v>16765</v>
      </c>
      <c r="M209" s="13">
        <v>15565</v>
      </c>
      <c r="N209" s="13">
        <v>25355</v>
      </c>
      <c r="O209" s="13">
        <v>24262</v>
      </c>
      <c r="P209" s="13">
        <v>1729</v>
      </c>
      <c r="Q209" s="13">
        <v>3345</v>
      </c>
      <c r="R209" s="9">
        <f t="shared" si="7"/>
        <v>87021</v>
      </c>
    </row>
    <row r="210" spans="1:18">
      <c r="A210" s="6" t="s">
        <v>226</v>
      </c>
      <c r="B210" s="35" t="s">
        <v>241</v>
      </c>
      <c r="C210" s="6" t="s">
        <v>22</v>
      </c>
      <c r="D210" s="7">
        <v>10.9030714</v>
      </c>
      <c r="E210" s="7">
        <v>-0.0914351270233069</v>
      </c>
      <c r="F210" s="14">
        <v>16027</v>
      </c>
      <c r="G210" s="8">
        <f t="shared" si="6"/>
        <v>35236</v>
      </c>
      <c r="H210" s="15">
        <v>50.7</v>
      </c>
      <c r="I210" s="15">
        <v>48.1</v>
      </c>
      <c r="J210" s="14">
        <v>47667</v>
      </c>
      <c r="K210" s="14">
        <v>15911</v>
      </c>
      <c r="L210" s="13">
        <v>18264</v>
      </c>
      <c r="M210" s="13">
        <v>17466</v>
      </c>
      <c r="N210" s="13">
        <v>20421</v>
      </c>
      <c r="O210" s="13">
        <v>24065</v>
      </c>
      <c r="P210" s="13">
        <v>2583</v>
      </c>
      <c r="Q210" s="13">
        <v>4194</v>
      </c>
      <c r="R210" s="9">
        <f t="shared" si="7"/>
        <v>86993</v>
      </c>
    </row>
    <row r="211" spans="1:18">
      <c r="A211" s="6" t="s">
        <v>242</v>
      </c>
      <c r="B211" s="35" t="s">
        <v>243</v>
      </c>
      <c r="C211" s="6" t="s">
        <v>22</v>
      </c>
      <c r="D211" s="7">
        <v>10.36748405</v>
      </c>
      <c r="E211" s="7">
        <v>-2.26222672458466</v>
      </c>
      <c r="F211" s="14">
        <v>10070</v>
      </c>
      <c r="G211" s="8">
        <f t="shared" si="6"/>
        <v>13695</v>
      </c>
      <c r="H211" s="15">
        <v>38.7</v>
      </c>
      <c r="I211" s="15">
        <v>44.4</v>
      </c>
      <c r="J211" s="14">
        <v>21566</v>
      </c>
      <c r="K211" s="14">
        <v>10188</v>
      </c>
      <c r="L211" s="13">
        <v>7768</v>
      </c>
      <c r="M211" s="13">
        <v>7221</v>
      </c>
      <c r="N211" s="13">
        <v>10310</v>
      </c>
      <c r="O211" s="13">
        <v>10968</v>
      </c>
      <c r="P211" s="13">
        <v>845</v>
      </c>
      <c r="Q211" s="13">
        <v>1642</v>
      </c>
      <c r="R211" s="9">
        <f t="shared" si="7"/>
        <v>38754</v>
      </c>
    </row>
    <row r="212" spans="1:18">
      <c r="A212" s="6" t="s">
        <v>242</v>
      </c>
      <c r="B212" s="35" t="s">
        <v>244</v>
      </c>
      <c r="C212" s="6" t="s">
        <v>20</v>
      </c>
      <c r="D212" s="7">
        <v>10.5366328</v>
      </c>
      <c r="E212" s="7">
        <v>-2.7008646</v>
      </c>
      <c r="F212" s="14">
        <v>15207</v>
      </c>
      <c r="G212" s="8">
        <f t="shared" si="6"/>
        <v>42406</v>
      </c>
      <c r="H212" s="15">
        <v>50.1</v>
      </c>
      <c r="I212" s="15">
        <v>47.4</v>
      </c>
      <c r="J212" s="14">
        <v>44829</v>
      </c>
      <c r="K212" s="14">
        <v>11356</v>
      </c>
      <c r="L212" s="13">
        <v>17123</v>
      </c>
      <c r="M212" s="13">
        <v>16543</v>
      </c>
      <c r="N212" s="13">
        <v>23894</v>
      </c>
      <c r="O212" s="13">
        <v>27936</v>
      </c>
      <c r="P212" s="13">
        <v>2004</v>
      </c>
      <c r="Q212" s="13">
        <v>3779</v>
      </c>
      <c r="R212" s="9">
        <f t="shared" si="7"/>
        <v>91279</v>
      </c>
    </row>
    <row r="213" spans="1:18">
      <c r="A213" s="6" t="s">
        <v>242</v>
      </c>
      <c r="B213" s="35" t="s">
        <v>245</v>
      </c>
      <c r="C213" s="6" t="s">
        <v>22</v>
      </c>
      <c r="D213" s="7">
        <v>10.846747</v>
      </c>
      <c r="E213" s="7">
        <v>-2.708741</v>
      </c>
      <c r="F213" s="14">
        <v>10758</v>
      </c>
      <c r="G213" s="8">
        <f t="shared" si="6"/>
        <v>19875</v>
      </c>
      <c r="H213" s="15">
        <v>44.2</v>
      </c>
      <c r="I213" s="15">
        <v>46</v>
      </c>
      <c r="J213" s="14">
        <v>25646</v>
      </c>
      <c r="K213" s="14">
        <v>5836</v>
      </c>
      <c r="L213" s="13">
        <v>10644</v>
      </c>
      <c r="M213" s="13">
        <v>9841</v>
      </c>
      <c r="N213" s="13">
        <v>13368</v>
      </c>
      <c r="O213" s="13">
        <v>14326</v>
      </c>
      <c r="P213" s="13">
        <v>1048</v>
      </c>
      <c r="Q213" s="13">
        <v>1891</v>
      </c>
      <c r="R213" s="9">
        <f t="shared" si="7"/>
        <v>51118</v>
      </c>
    </row>
    <row r="214" spans="1:18">
      <c r="A214" s="6" t="s">
        <v>242</v>
      </c>
      <c r="B214" s="35" t="s">
        <v>246</v>
      </c>
      <c r="C214" s="6" t="s">
        <v>20</v>
      </c>
      <c r="D214" s="7">
        <v>10.61348995</v>
      </c>
      <c r="E214" s="7">
        <v>-2.86412434170417</v>
      </c>
      <c r="F214" s="14">
        <v>12718</v>
      </c>
      <c r="G214" s="8">
        <f t="shared" si="6"/>
        <v>24866</v>
      </c>
      <c r="H214" s="15">
        <v>39.5</v>
      </c>
      <c r="I214" s="15">
        <v>45.8</v>
      </c>
      <c r="J214" s="14">
        <v>26943</v>
      </c>
      <c r="K214" s="14">
        <v>3535</v>
      </c>
      <c r="L214" s="13">
        <v>10757</v>
      </c>
      <c r="M214" s="13">
        <v>10092</v>
      </c>
      <c r="N214" s="13">
        <v>16108</v>
      </c>
      <c r="O214" s="13">
        <v>17366</v>
      </c>
      <c r="P214" s="13">
        <v>1460</v>
      </c>
      <c r="Q214" s="13">
        <v>2650</v>
      </c>
      <c r="R214" s="9">
        <f t="shared" si="7"/>
        <v>58433</v>
      </c>
    </row>
    <row r="215" spans="1:18">
      <c r="A215" s="6" t="s">
        <v>242</v>
      </c>
      <c r="B215" s="35" t="s">
        <v>247</v>
      </c>
      <c r="C215" s="6" t="s">
        <v>22</v>
      </c>
      <c r="D215" s="7">
        <v>10.2868347</v>
      </c>
      <c r="E215" s="7">
        <v>-2.6394776056347</v>
      </c>
      <c r="F215" s="14">
        <v>16572</v>
      </c>
      <c r="G215" s="8">
        <f t="shared" si="6"/>
        <v>32214</v>
      </c>
      <c r="H215" s="15">
        <v>40.6</v>
      </c>
      <c r="I215" s="15">
        <v>47.2</v>
      </c>
      <c r="J215" s="14">
        <v>34105</v>
      </c>
      <c r="K215" s="14">
        <v>9882</v>
      </c>
      <c r="L215" s="13">
        <v>14459</v>
      </c>
      <c r="M215" s="13">
        <v>13812</v>
      </c>
      <c r="N215" s="13">
        <v>20639</v>
      </c>
      <c r="O215" s="13">
        <v>22624</v>
      </c>
      <c r="P215" s="13">
        <v>1895</v>
      </c>
      <c r="Q215" s="13">
        <v>3628</v>
      </c>
      <c r="R215" s="9">
        <f t="shared" si="7"/>
        <v>77057</v>
      </c>
    </row>
    <row r="216" spans="1:18">
      <c r="A216" s="6" t="s">
        <v>242</v>
      </c>
      <c r="B216" s="35" t="s">
        <v>248</v>
      </c>
      <c r="C216" s="6" t="s">
        <v>20</v>
      </c>
      <c r="D216" s="7">
        <v>10.8520701</v>
      </c>
      <c r="E216" s="7">
        <v>-2.760077</v>
      </c>
      <c r="F216" s="14">
        <v>11997</v>
      </c>
      <c r="G216" s="8">
        <f t="shared" si="6"/>
        <v>21466</v>
      </c>
      <c r="H216" s="15">
        <v>31.8</v>
      </c>
      <c r="I216" s="15">
        <v>44.8</v>
      </c>
      <c r="J216" s="14">
        <v>22506</v>
      </c>
      <c r="K216" s="14">
        <v>2685</v>
      </c>
      <c r="L216" s="13">
        <v>9167</v>
      </c>
      <c r="M216" s="13">
        <v>8698</v>
      </c>
      <c r="N216" s="13">
        <v>15098</v>
      </c>
      <c r="O216" s="13">
        <v>14682</v>
      </c>
      <c r="P216" s="13">
        <v>1312</v>
      </c>
      <c r="Q216" s="13">
        <v>2371</v>
      </c>
      <c r="R216" s="9">
        <f t="shared" si="7"/>
        <v>51328</v>
      </c>
    </row>
    <row r="217" spans="1:18">
      <c r="A217" s="6" t="s">
        <v>242</v>
      </c>
      <c r="B217" s="35" t="s">
        <v>249</v>
      </c>
      <c r="C217" s="6" t="s">
        <v>20</v>
      </c>
      <c r="D217" s="7">
        <v>10.59705475</v>
      </c>
      <c r="E217" s="7">
        <v>-1.85050542952138</v>
      </c>
      <c r="F217" s="14">
        <v>23696</v>
      </c>
      <c r="G217" s="8">
        <f t="shared" si="6"/>
        <v>25675</v>
      </c>
      <c r="H217" s="15">
        <v>28.8</v>
      </c>
      <c r="I217" s="15">
        <v>44.3</v>
      </c>
      <c r="J217" s="14">
        <v>36973</v>
      </c>
      <c r="K217" s="14">
        <v>13326</v>
      </c>
      <c r="L217" s="13">
        <v>15883</v>
      </c>
      <c r="M217" s="13">
        <v>15365</v>
      </c>
      <c r="N217" s="13">
        <v>22675</v>
      </c>
      <c r="O217" s="13">
        <v>23421</v>
      </c>
      <c r="P217" s="13">
        <v>1310</v>
      </c>
      <c r="Q217" s="13">
        <v>1965</v>
      </c>
      <c r="R217" s="9">
        <f t="shared" si="7"/>
        <v>80619</v>
      </c>
    </row>
    <row r="218" spans="1:18">
      <c r="A218" s="6" t="s">
        <v>242</v>
      </c>
      <c r="B218" s="35" t="s">
        <v>250</v>
      </c>
      <c r="C218" s="6" t="s">
        <v>22</v>
      </c>
      <c r="D218" s="7">
        <v>10.7467085</v>
      </c>
      <c r="E218" s="7">
        <v>-2.29346951572635</v>
      </c>
      <c r="F218" s="14">
        <v>15085</v>
      </c>
      <c r="G218" s="8">
        <f t="shared" si="6"/>
        <v>22345</v>
      </c>
      <c r="H218" s="15">
        <v>32.3</v>
      </c>
      <c r="I218" s="15">
        <v>46.1</v>
      </c>
      <c r="J218" s="14">
        <v>31815</v>
      </c>
      <c r="K218" s="14">
        <v>7964</v>
      </c>
      <c r="L218" s="13">
        <v>13593</v>
      </c>
      <c r="M218" s="13">
        <v>12805</v>
      </c>
      <c r="N218" s="13">
        <v>16844</v>
      </c>
      <c r="O218" s="13">
        <v>17554</v>
      </c>
      <c r="P218" s="13">
        <v>1119</v>
      </c>
      <c r="Q218" s="13">
        <v>1913</v>
      </c>
      <c r="R218" s="9">
        <f t="shared" si="7"/>
        <v>63828</v>
      </c>
    </row>
    <row r="219" spans="1:18">
      <c r="A219" s="6" t="s">
        <v>242</v>
      </c>
      <c r="B219" s="35" t="s">
        <v>251</v>
      </c>
      <c r="C219" s="6" t="s">
        <v>22</v>
      </c>
      <c r="D219" s="7">
        <v>10.06069</v>
      </c>
      <c r="E219" s="7">
        <v>-2.50192</v>
      </c>
      <c r="F219" s="14">
        <v>24065</v>
      </c>
      <c r="G219" s="8">
        <f t="shared" si="6"/>
        <v>29821</v>
      </c>
      <c r="H219" s="15">
        <v>48.7</v>
      </c>
      <c r="I219" s="15">
        <v>45.3</v>
      </c>
      <c r="J219" s="14">
        <v>53226</v>
      </c>
      <c r="K219" s="14">
        <v>28685</v>
      </c>
      <c r="L219" s="13">
        <v>19492</v>
      </c>
      <c r="M219" s="13">
        <v>18079</v>
      </c>
      <c r="N219" s="13">
        <v>25357</v>
      </c>
      <c r="O219" s="13">
        <v>24624</v>
      </c>
      <c r="P219" s="13">
        <v>1772</v>
      </c>
      <c r="Q219" s="13">
        <v>2133</v>
      </c>
      <c r="R219" s="9">
        <f t="shared" si="7"/>
        <v>91457</v>
      </c>
    </row>
    <row r="220" spans="1:18">
      <c r="A220" s="6" t="s">
        <v>242</v>
      </c>
      <c r="B220" s="35" t="s">
        <v>252</v>
      </c>
      <c r="C220" s="6" t="s">
        <v>20</v>
      </c>
      <c r="D220" s="7">
        <v>10.0623261</v>
      </c>
      <c r="E220" s="7">
        <v>-2.5054273</v>
      </c>
      <c r="F220" s="14">
        <v>55802</v>
      </c>
      <c r="G220" s="8">
        <f t="shared" si="6"/>
        <v>74417</v>
      </c>
      <c r="H220" s="15">
        <v>16.5</v>
      </c>
      <c r="I220" s="15">
        <v>43.4</v>
      </c>
      <c r="J220" s="14">
        <v>54484</v>
      </c>
      <c r="K220" s="14">
        <v>21847</v>
      </c>
      <c r="L220" s="13">
        <v>35425</v>
      </c>
      <c r="M220" s="13">
        <v>35028</v>
      </c>
      <c r="N220" s="13">
        <v>60148</v>
      </c>
      <c r="O220" s="13">
        <v>62830</v>
      </c>
      <c r="P220" s="13">
        <v>2920</v>
      </c>
      <c r="Q220" s="13">
        <v>4321</v>
      </c>
      <c r="R220" s="9">
        <f t="shared" si="7"/>
        <v>200672</v>
      </c>
    </row>
    <row r="221" spans="1:18">
      <c r="A221" s="6" t="s">
        <v>242</v>
      </c>
      <c r="B221" s="35" t="s">
        <v>253</v>
      </c>
      <c r="C221" s="6" t="s">
        <v>22</v>
      </c>
      <c r="D221" s="7">
        <v>9.8985772</v>
      </c>
      <c r="E221" s="7">
        <v>-2.6832633</v>
      </c>
      <c r="F221" s="14">
        <v>18605</v>
      </c>
      <c r="G221" s="8">
        <f t="shared" si="6"/>
        <v>38398</v>
      </c>
      <c r="H221" s="15">
        <v>61.9</v>
      </c>
      <c r="I221" s="15">
        <v>48.7</v>
      </c>
      <c r="J221" s="14">
        <v>54974</v>
      </c>
      <c r="K221" s="14">
        <v>29934</v>
      </c>
      <c r="L221" s="13">
        <v>20291</v>
      </c>
      <c r="M221" s="13">
        <v>19663</v>
      </c>
      <c r="N221" s="13">
        <v>23133</v>
      </c>
      <c r="O221" s="13">
        <v>27784</v>
      </c>
      <c r="P221" s="13">
        <v>2456</v>
      </c>
      <c r="Q221" s="13">
        <v>3630</v>
      </c>
      <c r="R221" s="9">
        <f t="shared" si="7"/>
        <v>96957</v>
      </c>
    </row>
    <row r="222" spans="1:18">
      <c r="A222" s="6" t="s">
        <v>254</v>
      </c>
      <c r="B222" s="16" t="s">
        <v>255</v>
      </c>
      <c r="C222" s="6" t="s">
        <v>22</v>
      </c>
      <c r="D222" s="7">
        <v>6.4470511</v>
      </c>
      <c r="E222" s="7">
        <v>0.6286474</v>
      </c>
      <c r="F222" s="14">
        <v>12326</v>
      </c>
      <c r="G222" s="8">
        <f t="shared" si="6"/>
        <v>12465</v>
      </c>
      <c r="H222" s="15">
        <v>33.2</v>
      </c>
      <c r="I222" s="15">
        <v>43.6</v>
      </c>
      <c r="J222" s="14">
        <v>11060</v>
      </c>
      <c r="K222" s="14">
        <v>10446</v>
      </c>
      <c r="L222" s="13">
        <v>7153</v>
      </c>
      <c r="M222" s="13">
        <v>6705</v>
      </c>
      <c r="N222" s="13">
        <v>10721</v>
      </c>
      <c r="O222" s="13">
        <v>11393</v>
      </c>
      <c r="P222" s="13">
        <v>1089</v>
      </c>
      <c r="Q222" s="13">
        <v>1588</v>
      </c>
      <c r="R222" s="9">
        <f t="shared" si="7"/>
        <v>38649</v>
      </c>
    </row>
    <row r="223" spans="1:18">
      <c r="A223" s="6" t="s">
        <v>254</v>
      </c>
      <c r="B223" s="16" t="s">
        <v>256</v>
      </c>
      <c r="C223" s="6" t="s">
        <v>22</v>
      </c>
      <c r="D223" s="7">
        <v>7.0222497</v>
      </c>
      <c r="E223" s="7">
        <v>0.561946</v>
      </c>
      <c r="F223" s="14">
        <v>21981</v>
      </c>
      <c r="G223" s="8">
        <f t="shared" si="6"/>
        <v>25555</v>
      </c>
      <c r="H223" s="15">
        <v>32.5</v>
      </c>
      <c r="I223" s="15">
        <v>43.7</v>
      </c>
      <c r="J223" s="14">
        <v>14099</v>
      </c>
      <c r="K223" s="14">
        <v>21171</v>
      </c>
      <c r="L223" s="13">
        <v>13038</v>
      </c>
      <c r="M223" s="13">
        <v>12572</v>
      </c>
      <c r="N223" s="13">
        <v>20683</v>
      </c>
      <c r="O223" s="13">
        <v>21229</v>
      </c>
      <c r="P223" s="13">
        <v>2360</v>
      </c>
      <c r="Q223" s="13">
        <v>3264</v>
      </c>
      <c r="R223" s="9">
        <f t="shared" si="7"/>
        <v>73146</v>
      </c>
    </row>
    <row r="224" spans="1:18">
      <c r="A224" s="6" t="s">
        <v>254</v>
      </c>
      <c r="B224" s="16" t="s">
        <v>257</v>
      </c>
      <c r="C224" s="6" t="s">
        <v>22</v>
      </c>
      <c r="D224" s="7">
        <v>6.42618935</v>
      </c>
      <c r="E224" s="7">
        <v>0.732357165932429</v>
      </c>
      <c r="F224" s="14">
        <v>15226</v>
      </c>
      <c r="G224" s="8">
        <f t="shared" si="6"/>
        <v>10905</v>
      </c>
      <c r="H224" s="15">
        <v>25.7</v>
      </c>
      <c r="I224" s="15">
        <v>43.4</v>
      </c>
      <c r="J224" s="14">
        <v>11971</v>
      </c>
      <c r="K224" s="14">
        <v>10152</v>
      </c>
      <c r="L224" s="13">
        <v>6706</v>
      </c>
      <c r="M224" s="13">
        <v>6716</v>
      </c>
      <c r="N224" s="13">
        <v>11021</v>
      </c>
      <c r="O224" s="13">
        <v>12218</v>
      </c>
      <c r="P224" s="13">
        <v>1064</v>
      </c>
      <c r="Q224" s="13">
        <v>1828</v>
      </c>
      <c r="R224" s="9">
        <f t="shared" si="7"/>
        <v>39553</v>
      </c>
    </row>
    <row r="225" s="5" customFormat="1" spans="1:18">
      <c r="A225" s="6" t="s">
        <v>254</v>
      </c>
      <c r="B225" s="16" t="s">
        <v>258</v>
      </c>
      <c r="C225" s="6" t="s">
        <v>22</v>
      </c>
      <c r="D225" s="7">
        <v>6.3108306</v>
      </c>
      <c r="E225" s="7">
        <v>0.876439062223793</v>
      </c>
      <c r="F225" s="14">
        <v>10667</v>
      </c>
      <c r="G225" s="8">
        <f t="shared" si="6"/>
        <v>10630</v>
      </c>
      <c r="H225" s="15">
        <v>39.3</v>
      </c>
      <c r="I225" s="15">
        <v>44.4</v>
      </c>
      <c r="J225" s="14">
        <v>11624</v>
      </c>
      <c r="K225" s="14">
        <v>16744</v>
      </c>
      <c r="L225" s="13">
        <v>5827</v>
      </c>
      <c r="M225" s="13">
        <v>5631</v>
      </c>
      <c r="N225" s="13">
        <v>8505</v>
      </c>
      <c r="O225" s="13">
        <v>10014</v>
      </c>
      <c r="P225" s="13">
        <v>913</v>
      </c>
      <c r="Q225" s="13">
        <v>1865</v>
      </c>
      <c r="R225" s="9">
        <f t="shared" si="7"/>
        <v>32755</v>
      </c>
    </row>
    <row r="226" s="5" customFormat="1" spans="1:18">
      <c r="A226" s="6" t="s">
        <v>254</v>
      </c>
      <c r="B226" s="16" t="s">
        <v>259</v>
      </c>
      <c r="C226" s="6" t="s">
        <v>22</v>
      </c>
      <c r="D226" s="7">
        <v>8.25846</v>
      </c>
      <c r="E226" s="7">
        <v>0.508747</v>
      </c>
      <c r="F226" s="14">
        <v>28601</v>
      </c>
      <c r="G226" s="8">
        <f t="shared" si="6"/>
        <v>32012</v>
      </c>
      <c r="H226" s="15">
        <v>30.1</v>
      </c>
      <c r="I226" s="15">
        <v>44.5</v>
      </c>
      <c r="J226" s="14">
        <v>26836</v>
      </c>
      <c r="K226" s="14">
        <v>28973</v>
      </c>
      <c r="L226" s="13">
        <v>15952</v>
      </c>
      <c r="M226" s="13">
        <v>15568</v>
      </c>
      <c r="N226" s="13">
        <v>24603</v>
      </c>
      <c r="O226" s="13">
        <v>29179</v>
      </c>
      <c r="P226" s="13">
        <v>2342</v>
      </c>
      <c r="Q226" s="13">
        <v>4489</v>
      </c>
      <c r="R226" s="9">
        <f t="shared" si="7"/>
        <v>92133</v>
      </c>
    </row>
    <row r="227" spans="1:18">
      <c r="A227" s="6" t="s">
        <v>254</v>
      </c>
      <c r="B227" s="16" t="s">
        <v>260</v>
      </c>
      <c r="C227" s="6" t="s">
        <v>22</v>
      </c>
      <c r="D227" s="7">
        <v>5.7936484</v>
      </c>
      <c r="E227" s="7">
        <v>0.8984702</v>
      </c>
      <c r="F227" s="14">
        <v>27359</v>
      </c>
      <c r="G227" s="8">
        <f t="shared" si="6"/>
        <v>36184</v>
      </c>
      <c r="H227" s="15">
        <v>31.6</v>
      </c>
      <c r="I227" s="15">
        <v>45.9</v>
      </c>
      <c r="J227" s="14">
        <v>29252</v>
      </c>
      <c r="K227" s="14">
        <v>41680</v>
      </c>
      <c r="L227" s="13">
        <v>15986</v>
      </c>
      <c r="M227" s="13">
        <v>15366</v>
      </c>
      <c r="N227" s="13">
        <v>26025</v>
      </c>
      <c r="O227" s="13">
        <v>29534</v>
      </c>
      <c r="P227" s="13">
        <v>2698</v>
      </c>
      <c r="Q227" s="13">
        <v>5286</v>
      </c>
      <c r="R227" s="9">
        <f t="shared" si="7"/>
        <v>94895</v>
      </c>
    </row>
    <row r="228" spans="1:18">
      <c r="A228" s="6" t="s">
        <v>254</v>
      </c>
      <c r="B228" s="16" t="s">
        <v>261</v>
      </c>
      <c r="C228" s="6" t="s">
        <v>22</v>
      </c>
      <c r="D228" s="7">
        <v>6.16884364999999</v>
      </c>
      <c r="E228" s="7">
        <v>0.611561745917151</v>
      </c>
      <c r="F228" s="14">
        <v>24532</v>
      </c>
      <c r="G228" s="8">
        <f t="shared" si="6"/>
        <v>28243</v>
      </c>
      <c r="H228" s="15">
        <v>36</v>
      </c>
      <c r="I228" s="15">
        <v>44.4</v>
      </c>
      <c r="J228" s="14">
        <v>29161</v>
      </c>
      <c r="K228" s="14">
        <v>26329</v>
      </c>
      <c r="L228" s="13">
        <v>15476</v>
      </c>
      <c r="M228" s="13">
        <v>15033</v>
      </c>
      <c r="N228" s="13">
        <v>21648</v>
      </c>
      <c r="O228" s="13">
        <v>25244</v>
      </c>
      <c r="P228" s="13">
        <v>2067</v>
      </c>
      <c r="Q228" s="13">
        <v>3816</v>
      </c>
      <c r="R228" s="9">
        <f t="shared" si="7"/>
        <v>83284</v>
      </c>
    </row>
    <row r="229" spans="1:18">
      <c r="A229" s="6" t="s">
        <v>254</v>
      </c>
      <c r="B229" s="16" t="s">
        <v>262</v>
      </c>
      <c r="C229" s="6" t="s">
        <v>20</v>
      </c>
      <c r="D229" s="7">
        <v>6.6126598</v>
      </c>
      <c r="E229" s="7">
        <v>0.4688932</v>
      </c>
      <c r="F229" s="14">
        <v>61676</v>
      </c>
      <c r="G229" s="8">
        <f t="shared" si="6"/>
        <v>68181</v>
      </c>
      <c r="H229" s="15">
        <v>12.5</v>
      </c>
      <c r="I229" s="15">
        <v>42.1</v>
      </c>
      <c r="J229" s="14">
        <v>19028</v>
      </c>
      <c r="K229" s="14">
        <v>24246</v>
      </c>
      <c r="L229" s="13">
        <v>25031</v>
      </c>
      <c r="M229" s="13">
        <v>25254</v>
      </c>
      <c r="N229" s="13">
        <v>55464</v>
      </c>
      <c r="O229" s="13">
        <v>63965</v>
      </c>
      <c r="P229" s="13">
        <v>4215</v>
      </c>
      <c r="Q229" s="13">
        <v>6213</v>
      </c>
      <c r="R229" s="9">
        <f t="shared" si="7"/>
        <v>180142</v>
      </c>
    </row>
    <row r="230" spans="1:18">
      <c r="A230" s="6" t="s">
        <v>254</v>
      </c>
      <c r="B230" s="16" t="s">
        <v>263</v>
      </c>
      <c r="C230" s="6" t="s">
        <v>22</v>
      </c>
      <c r="D230" s="7">
        <v>6.590707</v>
      </c>
      <c r="E230" s="7">
        <v>0.46714</v>
      </c>
      <c r="F230" s="14">
        <v>28395</v>
      </c>
      <c r="G230" s="8">
        <f t="shared" si="6"/>
        <v>28088</v>
      </c>
      <c r="H230" s="15">
        <v>27.9</v>
      </c>
      <c r="I230" s="15">
        <v>42.7</v>
      </c>
      <c r="J230" s="14">
        <v>15702</v>
      </c>
      <c r="K230" s="14">
        <v>25710</v>
      </c>
      <c r="L230" s="13">
        <v>13846</v>
      </c>
      <c r="M230" s="13">
        <v>12843</v>
      </c>
      <c r="N230" s="13">
        <v>23357</v>
      </c>
      <c r="O230" s="13">
        <v>25820</v>
      </c>
      <c r="P230" s="13">
        <v>2929</v>
      </c>
      <c r="Q230" s="13">
        <v>4377</v>
      </c>
      <c r="R230" s="9">
        <f t="shared" si="7"/>
        <v>83172</v>
      </c>
    </row>
    <row r="231" spans="1:18">
      <c r="A231" s="6" t="s">
        <v>254</v>
      </c>
      <c r="B231" s="16" t="s">
        <v>264</v>
      </c>
      <c r="C231" s="6" t="s">
        <v>20</v>
      </c>
      <c r="D231" s="7">
        <v>7.153187</v>
      </c>
      <c r="E231" s="7">
        <v>0.477735</v>
      </c>
      <c r="F231" s="14">
        <v>37248</v>
      </c>
      <c r="G231" s="8">
        <f t="shared" si="6"/>
        <v>39037</v>
      </c>
      <c r="H231" s="15">
        <v>18.8</v>
      </c>
      <c r="I231" s="15">
        <v>42.8</v>
      </c>
      <c r="J231" s="14">
        <v>18377</v>
      </c>
      <c r="K231" s="14">
        <v>22140</v>
      </c>
      <c r="L231" s="13">
        <v>19113</v>
      </c>
      <c r="M231" s="13">
        <v>19074</v>
      </c>
      <c r="N231" s="13">
        <v>33152</v>
      </c>
      <c r="O231" s="13">
        <v>36705</v>
      </c>
      <c r="P231" s="13">
        <v>2628</v>
      </c>
      <c r="Q231" s="13">
        <v>3800</v>
      </c>
      <c r="R231" s="9">
        <f t="shared" si="7"/>
        <v>114472</v>
      </c>
    </row>
    <row r="232" spans="1:18">
      <c r="A232" s="6" t="s">
        <v>254</v>
      </c>
      <c r="B232" s="16" t="s">
        <v>265</v>
      </c>
      <c r="C232" s="6" t="s">
        <v>20</v>
      </c>
      <c r="D232" s="7">
        <v>5.9215688</v>
      </c>
      <c r="E232" s="7">
        <v>0.9910728</v>
      </c>
      <c r="F232" s="14">
        <v>23209</v>
      </c>
      <c r="G232" s="8">
        <f t="shared" si="6"/>
        <v>31662</v>
      </c>
      <c r="H232" s="15">
        <v>25.2</v>
      </c>
      <c r="I232" s="15">
        <v>45</v>
      </c>
      <c r="J232" s="14">
        <v>19817</v>
      </c>
      <c r="K232" s="14">
        <v>21523</v>
      </c>
      <c r="L232" s="13">
        <v>12367</v>
      </c>
      <c r="M232" s="13">
        <v>11624</v>
      </c>
      <c r="N232" s="13">
        <v>22241</v>
      </c>
      <c r="O232" s="13">
        <v>25780</v>
      </c>
      <c r="P232" s="13">
        <v>2378</v>
      </c>
      <c r="Q232" s="13">
        <v>4472</v>
      </c>
      <c r="R232" s="9">
        <f t="shared" si="7"/>
        <v>78862</v>
      </c>
    </row>
    <row r="233" spans="1:18">
      <c r="A233" s="6" t="s">
        <v>254</v>
      </c>
      <c r="B233" s="16" t="s">
        <v>266</v>
      </c>
      <c r="C233" s="6" t="s">
        <v>20</v>
      </c>
      <c r="D233" s="7">
        <v>6.192057</v>
      </c>
      <c r="E233" s="7">
        <v>0.981151401381816</v>
      </c>
      <c r="F233" s="14">
        <v>38123</v>
      </c>
      <c r="G233" s="8">
        <f t="shared" si="6"/>
        <v>37133</v>
      </c>
      <c r="H233" s="15">
        <v>27.2</v>
      </c>
      <c r="I233" s="15">
        <v>44.3</v>
      </c>
      <c r="J233" s="14">
        <v>36305</v>
      </c>
      <c r="K233" s="14">
        <v>43719</v>
      </c>
      <c r="L233" s="13">
        <v>20368</v>
      </c>
      <c r="M233" s="13">
        <v>19369</v>
      </c>
      <c r="N233" s="13">
        <v>30658</v>
      </c>
      <c r="O233" s="13">
        <v>35821</v>
      </c>
      <c r="P233" s="13">
        <v>2972</v>
      </c>
      <c r="Q233" s="13">
        <v>5805</v>
      </c>
      <c r="R233" s="9">
        <f t="shared" si="7"/>
        <v>114993</v>
      </c>
    </row>
    <row r="234" spans="1:18">
      <c r="A234" s="6" t="s">
        <v>254</v>
      </c>
      <c r="B234" s="16" t="s">
        <v>267</v>
      </c>
      <c r="C234" s="6" t="s">
        <v>20</v>
      </c>
      <c r="D234" s="7">
        <v>6.07748514999999</v>
      </c>
      <c r="E234" s="7">
        <v>1.0706219725046</v>
      </c>
      <c r="F234" s="14">
        <v>74834</v>
      </c>
      <c r="G234" s="8">
        <f t="shared" si="6"/>
        <v>84471</v>
      </c>
      <c r="H234" s="15">
        <v>25.6</v>
      </c>
      <c r="I234" s="15">
        <v>45.4</v>
      </c>
      <c r="J234" s="14">
        <v>76082</v>
      </c>
      <c r="K234" s="14">
        <v>121139</v>
      </c>
      <c r="L234" s="13">
        <v>47547</v>
      </c>
      <c r="M234" s="13">
        <v>46270</v>
      </c>
      <c r="N234" s="13">
        <v>68949</v>
      </c>
      <c r="O234" s="13">
        <v>77440</v>
      </c>
      <c r="P234" s="13">
        <v>4781</v>
      </c>
      <c r="Q234" s="13">
        <v>8135</v>
      </c>
      <c r="R234" s="9">
        <f t="shared" si="7"/>
        <v>253122</v>
      </c>
    </row>
    <row r="235" spans="1:18">
      <c r="A235" s="6" t="s">
        <v>254</v>
      </c>
      <c r="B235" s="16" t="s">
        <v>268</v>
      </c>
      <c r="C235" s="6" t="s">
        <v>20</v>
      </c>
      <c r="D235" s="7">
        <v>7.0000115</v>
      </c>
      <c r="E235" s="7">
        <v>0.318327973849328</v>
      </c>
      <c r="F235" s="14">
        <v>18561</v>
      </c>
      <c r="G235" s="8">
        <f t="shared" si="6"/>
        <v>21639</v>
      </c>
      <c r="H235" s="15">
        <v>23.4</v>
      </c>
      <c r="I235" s="15">
        <v>43.4</v>
      </c>
      <c r="J235" s="14">
        <v>10992</v>
      </c>
      <c r="K235" s="14">
        <v>11556</v>
      </c>
      <c r="L235" s="13">
        <v>9306</v>
      </c>
      <c r="M235" s="13">
        <v>9046</v>
      </c>
      <c r="N235" s="13">
        <v>18573</v>
      </c>
      <c r="O235" s="13">
        <v>18164</v>
      </c>
      <c r="P235" s="13">
        <v>1415</v>
      </c>
      <c r="Q235" s="13">
        <v>2048</v>
      </c>
      <c r="R235" s="9">
        <f t="shared" si="7"/>
        <v>58552</v>
      </c>
    </row>
    <row r="236" spans="1:18">
      <c r="A236" s="6" t="s">
        <v>254</v>
      </c>
      <c r="B236" s="16" t="s">
        <v>269</v>
      </c>
      <c r="C236" s="6" t="s">
        <v>22</v>
      </c>
      <c r="D236" s="7">
        <v>6.91384645</v>
      </c>
      <c r="E236" s="7">
        <v>0.22267318926127</v>
      </c>
      <c r="F236" s="14">
        <v>12527</v>
      </c>
      <c r="G236" s="8">
        <f t="shared" si="6"/>
        <v>14591</v>
      </c>
      <c r="H236" s="15">
        <v>30.1</v>
      </c>
      <c r="I236" s="15">
        <v>43.6</v>
      </c>
      <c r="J236" s="14">
        <v>7589</v>
      </c>
      <c r="K236" s="14">
        <v>8976</v>
      </c>
      <c r="L236" s="13">
        <v>6244</v>
      </c>
      <c r="M236" s="13">
        <v>5906</v>
      </c>
      <c r="N236" s="13">
        <v>11277</v>
      </c>
      <c r="O236" s="13">
        <v>11896</v>
      </c>
      <c r="P236" s="13">
        <v>1554</v>
      </c>
      <c r="Q236" s="13">
        <v>2391</v>
      </c>
      <c r="R236" s="9">
        <f t="shared" si="7"/>
        <v>39268</v>
      </c>
    </row>
    <row r="237" spans="1:18">
      <c r="A237" s="6" t="s">
        <v>254</v>
      </c>
      <c r="B237" s="16" t="s">
        <v>270</v>
      </c>
      <c r="C237" s="6" t="s">
        <v>22</v>
      </c>
      <c r="D237" s="7">
        <v>6.14399495</v>
      </c>
      <c r="E237" s="7">
        <v>0.297188924896433</v>
      </c>
      <c r="F237" s="14">
        <v>33245</v>
      </c>
      <c r="G237" s="8">
        <f t="shared" si="6"/>
        <v>36059</v>
      </c>
      <c r="H237" s="15">
        <v>38.4</v>
      </c>
      <c r="I237" s="15">
        <v>45.4</v>
      </c>
      <c r="J237" s="14">
        <v>34242</v>
      </c>
      <c r="K237" s="14">
        <v>45575</v>
      </c>
      <c r="L237" s="13">
        <v>21452</v>
      </c>
      <c r="M237" s="13">
        <v>20654</v>
      </c>
      <c r="N237" s="13">
        <v>29254</v>
      </c>
      <c r="O237" s="13">
        <v>33512</v>
      </c>
      <c r="P237" s="13">
        <v>2535</v>
      </c>
      <c r="Q237" s="13">
        <v>4003</v>
      </c>
      <c r="R237" s="9">
        <f t="shared" si="7"/>
        <v>111410</v>
      </c>
    </row>
    <row r="238" spans="1:18">
      <c r="A238" s="6" t="s">
        <v>254</v>
      </c>
      <c r="B238" s="16" t="s">
        <v>271</v>
      </c>
      <c r="C238" s="6" t="s">
        <v>22</v>
      </c>
      <c r="D238" s="7">
        <v>6.5449087</v>
      </c>
      <c r="E238" s="7">
        <v>0.240546020283373</v>
      </c>
      <c r="F238" s="14">
        <v>16500</v>
      </c>
      <c r="G238" s="8">
        <f t="shared" si="6"/>
        <v>21760</v>
      </c>
      <c r="H238" s="15">
        <v>29</v>
      </c>
      <c r="I238" s="15">
        <v>44.3</v>
      </c>
      <c r="J238" s="14">
        <v>12238</v>
      </c>
      <c r="K238" s="14">
        <v>12038</v>
      </c>
      <c r="L238" s="13">
        <v>9829</v>
      </c>
      <c r="M238" s="13">
        <v>9429</v>
      </c>
      <c r="N238" s="13">
        <v>17376</v>
      </c>
      <c r="O238" s="13">
        <v>17233</v>
      </c>
      <c r="P238" s="13">
        <v>1509</v>
      </c>
      <c r="Q238" s="13">
        <v>2142</v>
      </c>
      <c r="R238" s="9">
        <f t="shared" si="7"/>
        <v>57518</v>
      </c>
    </row>
    <row r="239" spans="1:18">
      <c r="A239" s="6" t="s">
        <v>254</v>
      </c>
      <c r="B239" s="16" t="s">
        <v>272</v>
      </c>
      <c r="C239" s="6" t="s">
        <v>22</v>
      </c>
      <c r="D239" s="7">
        <v>5.96577275</v>
      </c>
      <c r="E239" s="7">
        <v>0.641061228110148</v>
      </c>
      <c r="F239" s="14">
        <v>33924</v>
      </c>
      <c r="G239" s="8">
        <f t="shared" si="6"/>
        <v>38903</v>
      </c>
      <c r="H239" s="15">
        <v>32.4</v>
      </c>
      <c r="I239" s="15">
        <v>45.2</v>
      </c>
      <c r="J239" s="14">
        <v>32459</v>
      </c>
      <c r="K239" s="14">
        <v>38843</v>
      </c>
      <c r="L239" s="13">
        <v>20408</v>
      </c>
      <c r="M239" s="13">
        <v>19879</v>
      </c>
      <c r="N239" s="13">
        <v>29659</v>
      </c>
      <c r="O239" s="13">
        <v>35644</v>
      </c>
      <c r="P239" s="13">
        <v>2421</v>
      </c>
      <c r="Q239" s="13">
        <v>5103</v>
      </c>
      <c r="R239" s="9">
        <f t="shared" si="7"/>
        <v>113114</v>
      </c>
    </row>
    <row r="240" spans="1:18">
      <c r="A240" s="6" t="s">
        <v>273</v>
      </c>
      <c r="B240" s="16" t="s">
        <v>274</v>
      </c>
      <c r="C240" s="6" t="s">
        <v>20</v>
      </c>
      <c r="D240" s="7">
        <v>4.8514282</v>
      </c>
      <c r="E240" s="7">
        <v>-1.98665461803006</v>
      </c>
      <c r="F240" s="14">
        <v>49812</v>
      </c>
      <c r="G240" s="8">
        <f t="shared" si="6"/>
        <v>47885</v>
      </c>
      <c r="H240" s="26">
        <v>27.2</v>
      </c>
      <c r="I240" s="26">
        <v>44.7</v>
      </c>
      <c r="J240" s="14">
        <v>38266</v>
      </c>
      <c r="K240" s="14">
        <v>70901</v>
      </c>
      <c r="L240" s="13">
        <v>27867</v>
      </c>
      <c r="M240" s="13">
        <v>27576</v>
      </c>
      <c r="N240" s="13">
        <v>45127</v>
      </c>
      <c r="O240" s="13">
        <v>47048</v>
      </c>
      <c r="P240" s="13">
        <v>2225</v>
      </c>
      <c r="Q240" s="13">
        <v>3297</v>
      </c>
      <c r="R240" s="9">
        <f t="shared" si="7"/>
        <v>153140</v>
      </c>
    </row>
    <row r="241" spans="1:18">
      <c r="A241" s="6" t="s">
        <v>273</v>
      </c>
      <c r="B241" s="16" t="s">
        <v>275</v>
      </c>
      <c r="C241" s="6" t="s">
        <v>20</v>
      </c>
      <c r="D241" s="7">
        <v>4.96766095</v>
      </c>
      <c r="E241" s="7">
        <v>-1.80360599719917</v>
      </c>
      <c r="F241" s="14">
        <v>63585</v>
      </c>
      <c r="G241" s="8">
        <f t="shared" si="6"/>
        <v>57847</v>
      </c>
      <c r="H241" s="26">
        <v>9.3</v>
      </c>
      <c r="I241" s="26">
        <v>42.5</v>
      </c>
      <c r="J241" s="14">
        <v>15630</v>
      </c>
      <c r="K241" s="14">
        <v>40568</v>
      </c>
      <c r="L241" s="13">
        <v>26270</v>
      </c>
      <c r="M241" s="13">
        <v>26273</v>
      </c>
      <c r="N241" s="13">
        <v>56495</v>
      </c>
      <c r="O241" s="13">
        <v>57599</v>
      </c>
      <c r="P241" s="13">
        <v>3099</v>
      </c>
      <c r="Q241" s="13">
        <v>4239</v>
      </c>
      <c r="R241" s="9">
        <f t="shared" si="7"/>
        <v>173975</v>
      </c>
    </row>
    <row r="242" spans="1:18">
      <c r="A242" s="6" t="s">
        <v>273</v>
      </c>
      <c r="B242" s="16" t="s">
        <v>276</v>
      </c>
      <c r="C242" s="6" t="s">
        <v>22</v>
      </c>
      <c r="D242" s="7">
        <v>5.14952214999999</v>
      </c>
      <c r="E242" s="7">
        <v>-2.42142536190491</v>
      </c>
      <c r="F242" s="14">
        <v>35570</v>
      </c>
      <c r="G242" s="8">
        <f t="shared" si="6"/>
        <v>42516</v>
      </c>
      <c r="H242" s="26">
        <v>33.3</v>
      </c>
      <c r="I242" s="26">
        <v>42.8</v>
      </c>
      <c r="J242" s="14">
        <v>31771</v>
      </c>
      <c r="K242" s="14">
        <v>36622</v>
      </c>
      <c r="L242" s="13">
        <v>21811</v>
      </c>
      <c r="M242" s="13">
        <v>20996</v>
      </c>
      <c r="N242" s="13">
        <v>37019</v>
      </c>
      <c r="O242" s="13">
        <v>36768</v>
      </c>
      <c r="P242" s="13">
        <v>1756</v>
      </c>
      <c r="Q242" s="13">
        <v>2543</v>
      </c>
      <c r="R242" s="9">
        <f t="shared" si="7"/>
        <v>120893</v>
      </c>
    </row>
    <row r="243" spans="1:18">
      <c r="A243" s="6" t="s">
        <v>273</v>
      </c>
      <c r="B243" s="16" t="s">
        <v>277</v>
      </c>
      <c r="C243" s="6" t="s">
        <v>20</v>
      </c>
      <c r="D243" s="7">
        <v>5.199616</v>
      </c>
      <c r="E243" s="7">
        <v>-2.61473434715296</v>
      </c>
      <c r="F243" s="14">
        <v>39912</v>
      </c>
      <c r="G243" s="8">
        <f t="shared" si="6"/>
        <v>40959</v>
      </c>
      <c r="H243" s="26">
        <v>31.2</v>
      </c>
      <c r="I243" s="26">
        <v>43.7</v>
      </c>
      <c r="J243" s="14">
        <v>36331</v>
      </c>
      <c r="K243" s="14">
        <v>40184</v>
      </c>
      <c r="L243" s="13">
        <v>23402</v>
      </c>
      <c r="M243" s="13">
        <v>22303</v>
      </c>
      <c r="N243" s="13">
        <v>37306</v>
      </c>
      <c r="O243" s="13">
        <v>38855</v>
      </c>
      <c r="P243" s="13">
        <v>1941</v>
      </c>
      <c r="Q243" s="13">
        <v>2769</v>
      </c>
      <c r="R243" s="9">
        <f t="shared" si="7"/>
        <v>126576</v>
      </c>
    </row>
    <row r="244" spans="1:18">
      <c r="A244" s="6" t="s">
        <v>273</v>
      </c>
      <c r="B244" s="16" t="s">
        <v>278</v>
      </c>
      <c r="C244" s="6" t="s">
        <v>22</v>
      </c>
      <c r="D244" s="7">
        <v>4.9705877</v>
      </c>
      <c r="E244" s="7">
        <v>-1.8927971</v>
      </c>
      <c r="F244" s="14">
        <v>17795</v>
      </c>
      <c r="G244" s="8">
        <f t="shared" si="6"/>
        <v>16391</v>
      </c>
      <c r="H244" s="26">
        <v>31.4</v>
      </c>
      <c r="I244" s="26">
        <v>44.3</v>
      </c>
      <c r="J244" s="14">
        <v>13671</v>
      </c>
      <c r="K244" s="14">
        <v>25220</v>
      </c>
      <c r="L244" s="13">
        <v>8995</v>
      </c>
      <c r="M244" s="13">
        <v>8847</v>
      </c>
      <c r="N244" s="13">
        <v>16862</v>
      </c>
      <c r="O244" s="13">
        <v>15461</v>
      </c>
      <c r="P244" s="13">
        <v>890</v>
      </c>
      <c r="Q244" s="13">
        <v>973</v>
      </c>
      <c r="R244" s="9">
        <f t="shared" si="7"/>
        <v>52028</v>
      </c>
    </row>
    <row r="245" spans="1:18">
      <c r="A245" s="6" t="s">
        <v>273</v>
      </c>
      <c r="B245" s="16" t="s">
        <v>279</v>
      </c>
      <c r="C245" s="6" t="s">
        <v>20</v>
      </c>
      <c r="D245" s="7">
        <v>5.08576495</v>
      </c>
      <c r="E245" s="7">
        <v>-2.22263416898707</v>
      </c>
      <c r="F245" s="14">
        <v>32893</v>
      </c>
      <c r="G245" s="8">
        <f t="shared" si="6"/>
        <v>27539</v>
      </c>
      <c r="H245" s="26">
        <v>38.2</v>
      </c>
      <c r="I245" s="26">
        <v>43</v>
      </c>
      <c r="J245" s="14">
        <v>32560</v>
      </c>
      <c r="K245" s="14">
        <v>46450</v>
      </c>
      <c r="L245" s="13">
        <v>17234</v>
      </c>
      <c r="M245" s="13">
        <v>16955</v>
      </c>
      <c r="N245" s="13">
        <v>30240</v>
      </c>
      <c r="O245" s="13">
        <v>27556</v>
      </c>
      <c r="P245" s="13">
        <v>1116</v>
      </c>
      <c r="Q245" s="13">
        <v>1520</v>
      </c>
      <c r="R245" s="9">
        <f t="shared" si="7"/>
        <v>94621</v>
      </c>
    </row>
    <row r="246" spans="1:18">
      <c r="A246" s="6" t="s">
        <v>273</v>
      </c>
      <c r="B246" s="16" t="s">
        <v>280</v>
      </c>
      <c r="C246" s="6" t="s">
        <v>20</v>
      </c>
      <c r="D246" s="7">
        <v>5.44481979999999</v>
      </c>
      <c r="E246" s="7">
        <v>-2.04050432321944</v>
      </c>
      <c r="F246" s="14">
        <v>73612</v>
      </c>
      <c r="G246" s="8">
        <f t="shared" si="6"/>
        <v>73038</v>
      </c>
      <c r="H246" s="26">
        <v>29.5</v>
      </c>
      <c r="I246" s="26">
        <v>43.8</v>
      </c>
      <c r="J246" s="14">
        <v>59020</v>
      </c>
      <c r="K246" s="14">
        <v>112064</v>
      </c>
      <c r="L246" s="13">
        <v>41865</v>
      </c>
      <c r="M246" s="13">
        <v>40786</v>
      </c>
      <c r="N246" s="13">
        <v>72937</v>
      </c>
      <c r="O246" s="13">
        <v>67695</v>
      </c>
      <c r="P246" s="13">
        <v>2942</v>
      </c>
      <c r="Q246" s="13">
        <v>3076</v>
      </c>
      <c r="R246" s="9">
        <f t="shared" si="7"/>
        <v>229301</v>
      </c>
    </row>
    <row r="247" s="4" customFormat="1" spans="1:18">
      <c r="A247" s="27" t="s">
        <v>273</v>
      </c>
      <c r="B247" s="28" t="s">
        <v>281</v>
      </c>
      <c r="C247" s="27" t="s">
        <v>56</v>
      </c>
      <c r="D247" s="29">
        <v>4.95328</v>
      </c>
      <c r="E247" s="29">
        <v>-1.73308</v>
      </c>
      <c r="F247" s="30">
        <v>85174</v>
      </c>
      <c r="G247" s="31">
        <f t="shared" si="6"/>
        <v>86453</v>
      </c>
      <c r="H247" s="31">
        <v>10.1</v>
      </c>
      <c r="I247" s="31">
        <v>42.6</v>
      </c>
      <c r="J247" s="30">
        <v>23679</v>
      </c>
      <c r="K247" s="30">
        <v>49217</v>
      </c>
      <c r="L247" s="32">
        <v>36872</v>
      </c>
      <c r="M247" s="32">
        <v>36883</v>
      </c>
      <c r="N247" s="32">
        <v>77931</v>
      </c>
      <c r="O247" s="32">
        <v>82625</v>
      </c>
      <c r="P247" s="32">
        <v>4541</v>
      </c>
      <c r="Q247" s="32">
        <v>6530</v>
      </c>
      <c r="R247" s="33">
        <f t="shared" si="7"/>
        <v>245382</v>
      </c>
    </row>
    <row r="248" spans="1:18">
      <c r="A248" s="6" t="s">
        <v>273</v>
      </c>
      <c r="B248" s="16" t="s">
        <v>282</v>
      </c>
      <c r="C248" s="6" t="s">
        <v>22</v>
      </c>
      <c r="D248" s="7">
        <v>5.0606463</v>
      </c>
      <c r="E248" s="7">
        <v>-1.64288365568687</v>
      </c>
      <c r="F248" s="14">
        <v>38185</v>
      </c>
      <c r="G248" s="8">
        <f t="shared" si="6"/>
        <v>36098</v>
      </c>
      <c r="H248" s="26">
        <v>22</v>
      </c>
      <c r="I248" s="26">
        <v>44.4</v>
      </c>
      <c r="J248" s="14">
        <v>24535</v>
      </c>
      <c r="K248" s="14">
        <v>35638</v>
      </c>
      <c r="L248" s="13">
        <v>21733</v>
      </c>
      <c r="M248" s="13">
        <v>21208</v>
      </c>
      <c r="N248" s="13">
        <v>33497</v>
      </c>
      <c r="O248" s="13">
        <v>35874</v>
      </c>
      <c r="P248" s="13">
        <v>1980</v>
      </c>
      <c r="Q248" s="13">
        <v>2932</v>
      </c>
      <c r="R248" s="9">
        <f t="shared" si="7"/>
        <v>117224</v>
      </c>
    </row>
    <row r="249" spans="1:18">
      <c r="A249" s="6" t="s">
        <v>273</v>
      </c>
      <c r="B249" s="16" t="s">
        <v>283</v>
      </c>
      <c r="C249" s="6" t="s">
        <v>20</v>
      </c>
      <c r="D249" s="7">
        <v>5.310935</v>
      </c>
      <c r="E249" s="7">
        <v>-1.992426</v>
      </c>
      <c r="F249" s="14">
        <v>74018</v>
      </c>
      <c r="G249" s="8">
        <f t="shared" si="6"/>
        <v>73132</v>
      </c>
      <c r="H249" s="26">
        <v>18.2</v>
      </c>
      <c r="I249" s="26">
        <v>43.5</v>
      </c>
      <c r="J249" s="14">
        <v>39035</v>
      </c>
      <c r="K249" s="14">
        <v>62189</v>
      </c>
      <c r="L249" s="13">
        <v>36129</v>
      </c>
      <c r="M249" s="13">
        <v>35830</v>
      </c>
      <c r="N249" s="13">
        <v>74620</v>
      </c>
      <c r="O249" s="13">
        <v>67080</v>
      </c>
      <c r="P249" s="13">
        <v>2538</v>
      </c>
      <c r="Q249" s="13">
        <v>2912</v>
      </c>
      <c r="R249" s="9">
        <f t="shared" si="7"/>
        <v>219109</v>
      </c>
    </row>
    <row r="250" spans="1:18">
      <c r="A250" s="6" t="s">
        <v>273</v>
      </c>
      <c r="B250" s="16" t="s">
        <v>284</v>
      </c>
      <c r="C250" s="6" t="s">
        <v>22</v>
      </c>
      <c r="D250" s="7">
        <v>5.7890318</v>
      </c>
      <c r="E250" s="7">
        <v>-2.0839856</v>
      </c>
      <c r="F250" s="14">
        <v>39525</v>
      </c>
      <c r="G250" s="8">
        <f t="shared" si="6"/>
        <v>34394</v>
      </c>
      <c r="H250" s="26">
        <v>37.6</v>
      </c>
      <c r="I250" s="26">
        <v>43</v>
      </c>
      <c r="J250" s="14">
        <v>40255</v>
      </c>
      <c r="K250" s="14">
        <v>55487</v>
      </c>
      <c r="L250" s="13">
        <v>22543</v>
      </c>
      <c r="M250" s="13">
        <v>21537</v>
      </c>
      <c r="N250" s="13">
        <v>38197</v>
      </c>
      <c r="O250" s="13">
        <v>32215</v>
      </c>
      <c r="P250" s="13">
        <v>1827</v>
      </c>
      <c r="Q250" s="13">
        <v>1680</v>
      </c>
      <c r="R250" s="9">
        <f t="shared" si="7"/>
        <v>117999</v>
      </c>
    </row>
    <row r="251" spans="1:18">
      <c r="A251" s="6" t="s">
        <v>273</v>
      </c>
      <c r="B251" s="16" t="s">
        <v>285</v>
      </c>
      <c r="C251" s="6" t="s">
        <v>20</v>
      </c>
      <c r="D251" s="7">
        <v>5.87660585</v>
      </c>
      <c r="E251" s="7">
        <v>-1.98975398510416</v>
      </c>
      <c r="F251" s="14">
        <v>55415</v>
      </c>
      <c r="G251" s="8">
        <f t="shared" si="6"/>
        <v>62692</v>
      </c>
      <c r="H251" s="26">
        <v>35.5</v>
      </c>
      <c r="I251" s="26">
        <v>44.4</v>
      </c>
      <c r="J251" s="14">
        <v>57887</v>
      </c>
      <c r="K251" s="14">
        <v>82600</v>
      </c>
      <c r="L251" s="13">
        <v>31302</v>
      </c>
      <c r="M251" s="13">
        <v>30287</v>
      </c>
      <c r="N251" s="13">
        <v>61347</v>
      </c>
      <c r="O251" s="13">
        <v>51720</v>
      </c>
      <c r="P251" s="13">
        <v>2634</v>
      </c>
      <c r="Q251" s="13">
        <v>2406</v>
      </c>
      <c r="R251" s="9">
        <f t="shared" si="7"/>
        <v>179696</v>
      </c>
    </row>
    <row r="252" spans="1:18">
      <c r="A252" s="6" t="s">
        <v>273</v>
      </c>
      <c r="B252" s="16" t="s">
        <v>286</v>
      </c>
      <c r="C252" s="6" t="s">
        <v>20</v>
      </c>
      <c r="D252" s="7">
        <v>5.7735167</v>
      </c>
      <c r="E252" s="7">
        <v>-2.5321498</v>
      </c>
      <c r="F252" s="14">
        <v>48494</v>
      </c>
      <c r="G252" s="8">
        <f t="shared" si="6"/>
        <v>36169</v>
      </c>
      <c r="H252" s="26">
        <v>24.9</v>
      </c>
      <c r="I252" s="26">
        <v>42</v>
      </c>
      <c r="J252" s="14">
        <v>39203</v>
      </c>
      <c r="K252" s="14">
        <v>36463</v>
      </c>
      <c r="L252" s="13">
        <v>23579</v>
      </c>
      <c r="M252" s="13">
        <v>22758</v>
      </c>
      <c r="N252" s="13">
        <v>43434</v>
      </c>
      <c r="O252" s="13">
        <v>37508</v>
      </c>
      <c r="P252" s="13">
        <v>1924</v>
      </c>
      <c r="Q252" s="13">
        <v>1797</v>
      </c>
      <c r="R252" s="9">
        <f t="shared" si="7"/>
        <v>131000</v>
      </c>
    </row>
    <row r="253" spans="1:18">
      <c r="A253" s="6" t="s">
        <v>273</v>
      </c>
      <c r="B253" s="16" t="s">
        <v>287</v>
      </c>
      <c r="C253" s="6" t="s">
        <v>22</v>
      </c>
      <c r="D253" s="7">
        <v>5.3622378</v>
      </c>
      <c r="E253" s="7">
        <v>-1.62070954561049</v>
      </c>
      <c r="F253" s="14">
        <v>37479</v>
      </c>
      <c r="G253" s="8">
        <f t="shared" si="6"/>
        <v>24536</v>
      </c>
      <c r="H253" s="26">
        <v>38</v>
      </c>
      <c r="I253" s="26">
        <v>42</v>
      </c>
      <c r="J253" s="14">
        <v>31560</v>
      </c>
      <c r="K253" s="14">
        <v>53204</v>
      </c>
      <c r="L253" s="13">
        <v>19411</v>
      </c>
      <c r="M253" s="13">
        <v>18215</v>
      </c>
      <c r="N253" s="13">
        <v>29878</v>
      </c>
      <c r="O253" s="13">
        <v>28067</v>
      </c>
      <c r="P253" s="13">
        <v>1911</v>
      </c>
      <c r="Q253" s="13">
        <v>2159</v>
      </c>
      <c r="R253" s="9">
        <f t="shared" si="7"/>
        <v>99641</v>
      </c>
    </row>
    <row r="254" spans="1:18">
      <c r="A254" s="13" t="s">
        <v>288</v>
      </c>
      <c r="B254" s="13" t="s">
        <v>289</v>
      </c>
      <c r="C254" s="6" t="s">
        <v>20</v>
      </c>
      <c r="D254" s="7">
        <v>5.69311555</v>
      </c>
      <c r="E254" s="7">
        <v>-2.7557437678514</v>
      </c>
      <c r="F254" s="14">
        <v>48339</v>
      </c>
      <c r="G254" s="8">
        <f t="shared" si="6"/>
        <v>36622</v>
      </c>
      <c r="H254" s="15">
        <v>37.1</v>
      </c>
      <c r="I254" s="15">
        <v>41.9</v>
      </c>
      <c r="J254" s="14">
        <v>51625</v>
      </c>
      <c r="K254" s="14">
        <v>44974</v>
      </c>
      <c r="L254" s="13">
        <v>24663</v>
      </c>
      <c r="M254" s="13">
        <v>23633</v>
      </c>
      <c r="N254" s="13">
        <v>43488</v>
      </c>
      <c r="O254" s="13">
        <v>37969</v>
      </c>
      <c r="P254" s="13">
        <v>1980</v>
      </c>
      <c r="Q254" s="13">
        <v>1524</v>
      </c>
      <c r="R254" s="9">
        <f t="shared" si="7"/>
        <v>133257</v>
      </c>
    </row>
    <row r="255" spans="1:18">
      <c r="A255" s="13" t="s">
        <v>288</v>
      </c>
      <c r="B255" s="13" t="s">
        <v>290</v>
      </c>
      <c r="C255" s="6" t="s">
        <v>22</v>
      </c>
      <c r="D255" s="7">
        <v>6.817878</v>
      </c>
      <c r="E255" s="7">
        <v>-3.00681786775424</v>
      </c>
      <c r="F255" s="14">
        <v>20133</v>
      </c>
      <c r="G255" s="8">
        <f t="shared" si="6"/>
        <v>12438</v>
      </c>
      <c r="H255" s="15">
        <v>32.9</v>
      </c>
      <c r="I255" s="15">
        <v>41.5</v>
      </c>
      <c r="J255" s="14">
        <v>22623</v>
      </c>
      <c r="K255" s="14">
        <v>23293</v>
      </c>
      <c r="L255" s="13">
        <v>10619</v>
      </c>
      <c r="M255" s="13">
        <v>9883</v>
      </c>
      <c r="N255" s="13">
        <v>16617</v>
      </c>
      <c r="O255" s="13">
        <v>14414</v>
      </c>
      <c r="P255" s="13">
        <v>918</v>
      </c>
      <c r="Q255" s="13">
        <v>622</v>
      </c>
      <c r="R255" s="9">
        <f t="shared" si="7"/>
        <v>53073</v>
      </c>
    </row>
    <row r="256" spans="1:18">
      <c r="A256" s="13" t="s">
        <v>288</v>
      </c>
      <c r="B256" s="13" t="s">
        <v>291</v>
      </c>
      <c r="C256" s="6" t="s">
        <v>22</v>
      </c>
      <c r="D256" s="7">
        <v>6.56894165</v>
      </c>
      <c r="E256" s="7">
        <v>-3.06628883975843</v>
      </c>
      <c r="F256" s="14">
        <v>38243</v>
      </c>
      <c r="G256" s="8">
        <f t="shared" si="6"/>
        <v>33676</v>
      </c>
      <c r="H256" s="15">
        <v>24.5</v>
      </c>
      <c r="I256" s="15">
        <v>41.3</v>
      </c>
      <c r="J256" s="14">
        <v>11991</v>
      </c>
      <c r="K256" s="14">
        <v>8269</v>
      </c>
      <c r="L256" s="13">
        <v>22464</v>
      </c>
      <c r="M256" s="13">
        <v>21498</v>
      </c>
      <c r="N256" s="13">
        <v>35895</v>
      </c>
      <c r="O256" s="13">
        <v>33204</v>
      </c>
      <c r="P256" s="13">
        <v>1596</v>
      </c>
      <c r="Q256" s="13">
        <v>1224</v>
      </c>
      <c r="R256" s="9">
        <f t="shared" si="7"/>
        <v>115881</v>
      </c>
    </row>
    <row r="257" spans="1:18">
      <c r="A257" s="13" t="s">
        <v>288</v>
      </c>
      <c r="B257" s="13" t="s">
        <v>292</v>
      </c>
      <c r="C257" s="6" t="s">
        <v>20</v>
      </c>
      <c r="D257" s="7">
        <v>6.29602085</v>
      </c>
      <c r="E257" s="7">
        <v>-2.23398871855776</v>
      </c>
      <c r="F257" s="14">
        <v>54933</v>
      </c>
      <c r="G257" s="8">
        <f t="shared" si="6"/>
        <v>53406</v>
      </c>
      <c r="H257" s="15">
        <v>25.8</v>
      </c>
      <c r="I257" s="15">
        <v>41.9</v>
      </c>
      <c r="J257" s="14">
        <v>22658</v>
      </c>
      <c r="K257" s="14">
        <v>14946</v>
      </c>
      <c r="L257" s="13">
        <v>30105</v>
      </c>
      <c r="M257" s="13">
        <v>29527</v>
      </c>
      <c r="N257" s="13">
        <v>50059</v>
      </c>
      <c r="O257" s="13">
        <v>52106</v>
      </c>
      <c r="P257" s="13">
        <v>2634</v>
      </c>
      <c r="Q257" s="13">
        <v>3540</v>
      </c>
      <c r="R257" s="9">
        <f t="shared" si="7"/>
        <v>167971</v>
      </c>
    </row>
    <row r="258" spans="1:18">
      <c r="A258" s="13" t="s">
        <v>288</v>
      </c>
      <c r="B258" s="13" t="s">
        <v>293</v>
      </c>
      <c r="C258" s="6" t="s">
        <v>22</v>
      </c>
      <c r="D258" s="7">
        <v>6.24012575</v>
      </c>
      <c r="E258" s="7">
        <v>-2.87347603617418</v>
      </c>
      <c r="F258" s="14">
        <v>23327</v>
      </c>
      <c r="G258" s="8">
        <f t="shared" si="6"/>
        <v>18638</v>
      </c>
      <c r="H258" s="15">
        <v>18.6</v>
      </c>
      <c r="I258" s="15">
        <v>41.7</v>
      </c>
      <c r="J258" s="14">
        <v>38497</v>
      </c>
      <c r="K258" s="14">
        <v>24824</v>
      </c>
      <c r="L258" s="13">
        <v>12137</v>
      </c>
      <c r="M258" s="13">
        <v>11646</v>
      </c>
      <c r="N258" s="13">
        <v>20465</v>
      </c>
      <c r="O258" s="13">
        <v>19320</v>
      </c>
      <c r="P258" s="13">
        <v>1051</v>
      </c>
      <c r="Q258" s="13">
        <v>1129</v>
      </c>
      <c r="R258" s="9">
        <f t="shared" si="7"/>
        <v>65748</v>
      </c>
    </row>
    <row r="259" spans="1:18">
      <c r="A259" s="13" t="s">
        <v>288</v>
      </c>
      <c r="B259" s="13" t="s">
        <v>294</v>
      </c>
      <c r="C259" s="6" t="s">
        <v>22</v>
      </c>
      <c r="D259" s="7">
        <v>6.3415722</v>
      </c>
      <c r="E259" s="7">
        <v>-2.8235416</v>
      </c>
      <c r="F259" s="14">
        <v>29440</v>
      </c>
      <c r="G259" s="8">
        <f>SUM(N259:Q259)-SUM(F259)</f>
        <v>27877</v>
      </c>
      <c r="H259" s="15">
        <v>18.9</v>
      </c>
      <c r="I259" s="15">
        <v>42.3</v>
      </c>
      <c r="J259" s="14">
        <v>39907</v>
      </c>
      <c r="K259" s="14">
        <v>30473</v>
      </c>
      <c r="L259" s="13">
        <v>16061</v>
      </c>
      <c r="M259" s="13">
        <v>15436</v>
      </c>
      <c r="N259" s="13">
        <v>28339</v>
      </c>
      <c r="O259" s="13">
        <v>26307</v>
      </c>
      <c r="P259" s="13">
        <v>1322</v>
      </c>
      <c r="Q259" s="13">
        <v>1349</v>
      </c>
      <c r="R259" s="9">
        <f>SUM(L259:Q259)</f>
        <v>88814</v>
      </c>
    </row>
    <row r="260" spans="1:18">
      <c r="A260" s="13" t="s">
        <v>288</v>
      </c>
      <c r="B260" s="13" t="s">
        <v>295</v>
      </c>
      <c r="C260" s="6" t="s">
        <v>22</v>
      </c>
      <c r="D260" s="7">
        <v>6.0425529</v>
      </c>
      <c r="E260" s="7">
        <v>-2.8760069</v>
      </c>
      <c r="F260" s="14">
        <v>25005</v>
      </c>
      <c r="G260" s="8">
        <f>SUM(N260:Q260)-SUM(F260)</f>
        <v>16732</v>
      </c>
      <c r="H260" s="15">
        <v>24.5</v>
      </c>
      <c r="I260" s="15">
        <v>42.2</v>
      </c>
      <c r="J260" s="14">
        <v>29528</v>
      </c>
      <c r="K260" s="14">
        <v>18022</v>
      </c>
      <c r="L260" s="13">
        <v>13046</v>
      </c>
      <c r="M260" s="13">
        <v>11906</v>
      </c>
      <c r="N260" s="13">
        <v>20785</v>
      </c>
      <c r="O260" s="13">
        <v>18801</v>
      </c>
      <c r="P260" s="13">
        <v>1192</v>
      </c>
      <c r="Q260" s="13">
        <v>959</v>
      </c>
      <c r="R260" s="9">
        <f>SUM(L260:Q260)</f>
        <v>66689</v>
      </c>
    </row>
    <row r="261" spans="1:18">
      <c r="A261" s="13" t="s">
        <v>288</v>
      </c>
      <c r="B261" s="13" t="s">
        <v>296</v>
      </c>
      <c r="C261" s="6" t="s">
        <v>20</v>
      </c>
      <c r="D261" s="7">
        <v>6.30540429999999</v>
      </c>
      <c r="E261" s="7">
        <v>-2.51755838219394</v>
      </c>
      <c r="F261" s="14">
        <v>51890</v>
      </c>
      <c r="G261" s="8">
        <f>SUM(N261:Q261)-SUM(F261)</f>
        <v>46609</v>
      </c>
      <c r="H261" s="15">
        <v>33.3</v>
      </c>
      <c r="I261" s="15">
        <v>42.4</v>
      </c>
      <c r="J261" s="14">
        <v>42460</v>
      </c>
      <c r="K261" s="14">
        <v>37320</v>
      </c>
      <c r="L261" s="13">
        <v>26975</v>
      </c>
      <c r="M261" s="13">
        <v>25746</v>
      </c>
      <c r="N261" s="13">
        <v>46395</v>
      </c>
      <c r="O261" s="13">
        <v>46745</v>
      </c>
      <c r="P261" s="13">
        <v>2535</v>
      </c>
      <c r="Q261" s="13">
        <v>2824</v>
      </c>
      <c r="R261" s="9">
        <f>SUM(L261:Q261)</f>
        <v>151220</v>
      </c>
    </row>
    <row r="262" spans="1:18">
      <c r="A262" s="13" t="s">
        <v>288</v>
      </c>
      <c r="B262" s="13" t="s">
        <v>297</v>
      </c>
      <c r="C262" s="6" t="s">
        <v>22</v>
      </c>
      <c r="D262" s="7">
        <v>6.10824159999999</v>
      </c>
      <c r="E262" s="7">
        <v>-3.00869712063798</v>
      </c>
      <c r="F262" s="14">
        <v>12182</v>
      </c>
      <c r="G262" s="8">
        <f>SUM(N262:Q262)-SUM(F262)</f>
        <v>13089</v>
      </c>
      <c r="H262" s="15">
        <v>37.5</v>
      </c>
      <c r="I262" s="15">
        <v>41.3</v>
      </c>
      <c r="J262" s="14">
        <v>19265</v>
      </c>
      <c r="K262" s="14">
        <v>22574</v>
      </c>
      <c r="L262" s="13">
        <v>6746</v>
      </c>
      <c r="M262" s="13">
        <v>6251</v>
      </c>
      <c r="N262" s="13">
        <v>13440</v>
      </c>
      <c r="O262" s="13">
        <v>11022</v>
      </c>
      <c r="P262" s="13">
        <v>421</v>
      </c>
      <c r="Q262" s="13">
        <v>388</v>
      </c>
      <c r="R262" s="9">
        <f>SUM(L262:Q262)</f>
        <v>38268</v>
      </c>
    </row>
  </sheetData>
  <sortState ref="A214:R224">
    <sortCondition ref="B214:B224"/>
  </sortState>
  <pageMargins left="0.75" right="0.75" top="1" bottom="1" header="0.5" footer="0.5"/>
  <headerFooter/>
  <ignoredErrors>
    <ignoredError sqref="R$1:R$1048576 G2:G26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VGhanem</dc:creator>
  <cp:lastModifiedBy>VGhanem</cp:lastModifiedBy>
  <dcterms:created xsi:type="dcterms:W3CDTF">2025-06-10T09:53:00Z</dcterms:created>
  <dcterms:modified xsi:type="dcterms:W3CDTF">2025-06-19T08:37:02Z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AB1E5200B49148C99BAF5624DFF304E5_13</vt:lpwstr>
  </property>
  <property fmtid="{D5CDD505-2E9C-101B-9397-08002B2CF9AE}" pid="3" name="KSOProductBuildVer">
    <vt:lpwstr>1033-12.2.0.21546</vt:lpwstr>
  </property>
</Properties>
</file>